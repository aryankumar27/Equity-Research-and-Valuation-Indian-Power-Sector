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Balance Sheet" sheetId="2" r:id="rId5"/>
    <sheet state="visible" name="Profit and Loss Statement" sheetId="3" r:id="rId6"/>
    <sheet state="visible" name="Cash Flow Statement" sheetId="4" r:id="rId7"/>
    <sheet state="visible" name="Share Holding Pattern " sheetId="5" r:id="rId8"/>
    <sheet state="visible" name="Financial ratio " sheetId="6" r:id="rId9"/>
    <sheet state="visible" name="Du Pont Analysis" sheetId="7" r:id="rId10"/>
    <sheet state="visible" name="Market Return" sheetId="8" r:id="rId11"/>
    <sheet state="visible" name="Beta Calculation" sheetId="9" r:id="rId12"/>
    <sheet state="visible" name="Bottom_Up(Beta) &amp; Ke" sheetId="10" r:id="rId13"/>
    <sheet state="visible" name="Kd" sheetId="11" r:id="rId14"/>
    <sheet state="visible" name="WACC" sheetId="12" r:id="rId15"/>
    <sheet state="visible" name="Data_sheet for growth" sheetId="13" r:id="rId16"/>
    <sheet state="visible" name="Growth" sheetId="14" r:id="rId17"/>
    <sheet state="visible" name="DCF Valuation" sheetId="15" r:id="rId18"/>
    <sheet state="visible" name="Relative Valuation" sheetId="16" r:id="rId19"/>
    <sheet state="visible" name="References" sheetId="17" r:id="rId20"/>
  </sheets>
  <definedNames/>
  <calcPr/>
</workbook>
</file>

<file path=xl/sharedStrings.xml><?xml version="1.0" encoding="utf-8"?>
<sst xmlns="http://schemas.openxmlformats.org/spreadsheetml/2006/main" count="1174" uniqueCount="670">
  <si>
    <t>INDEX</t>
  </si>
  <si>
    <t>Company</t>
  </si>
  <si>
    <t>Sr No.</t>
  </si>
  <si>
    <t>Particulars</t>
  </si>
  <si>
    <t>Link to Sheet</t>
  </si>
  <si>
    <t>Balance Sheet</t>
  </si>
  <si>
    <t>Profit &amp; Loss</t>
  </si>
  <si>
    <t>Profit and Loss Statement</t>
  </si>
  <si>
    <t>Cash Flow Statement</t>
  </si>
  <si>
    <t>Share Holding Pattern</t>
  </si>
  <si>
    <t xml:space="preserve">Share Holding Pattern </t>
  </si>
  <si>
    <t>Calculation of Financial Ratio</t>
  </si>
  <si>
    <t xml:space="preserve">Financial ratio </t>
  </si>
  <si>
    <t>Du Pont Analysis</t>
  </si>
  <si>
    <t>Calculation of Market return</t>
  </si>
  <si>
    <t>Market Return</t>
  </si>
  <si>
    <t>Beta calculation using Historical return</t>
  </si>
  <si>
    <t>Beta Calculation using HR</t>
  </si>
  <si>
    <t>Bottom up Beta Calculation</t>
  </si>
  <si>
    <t>Bottom Up Beta using peers</t>
  </si>
  <si>
    <t>Calculation of Ke</t>
  </si>
  <si>
    <t>COE using CAPM</t>
  </si>
  <si>
    <t>Calculation of Kd</t>
  </si>
  <si>
    <t>COD using Default Spread</t>
  </si>
  <si>
    <t>WACC</t>
  </si>
  <si>
    <t>Data Sheet for Growth calculation</t>
  </si>
  <si>
    <t>Data_sheet for growth</t>
  </si>
  <si>
    <t>Calculation of growth rate</t>
  </si>
  <si>
    <t>Growth</t>
  </si>
  <si>
    <t>DCF &amp; Relative Valuation</t>
  </si>
  <si>
    <t>Relative Valuation</t>
  </si>
  <si>
    <t xml:space="preserve">References </t>
  </si>
  <si>
    <t>References</t>
  </si>
  <si>
    <t>Equity Capital</t>
  </si>
  <si>
    <t>Reserves</t>
  </si>
  <si>
    <t>Borrowings -</t>
  </si>
  <si>
    <t>Long term Borrowings</t>
  </si>
  <si>
    <t>Short term Borrowings</t>
  </si>
  <si>
    <t>Lease Liabilities</t>
  </si>
  <si>
    <t>Other Borrowings</t>
  </si>
  <si>
    <t>Other Liabilities -</t>
  </si>
  <si>
    <t>Trade Payables</t>
  </si>
  <si>
    <t>Advance from Customers</t>
  </si>
  <si>
    <t>Other liability items</t>
  </si>
  <si>
    <t>Total Liabilities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</si>
  <si>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</si>
  <si>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</si>
  <si>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</si>
  <si>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</si>
  <si>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</si>
  <si>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</si>
  <si>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</si>
  <si>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</si>
  <si>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</si>
  <si>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</si>
  <si>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</si>
  <si>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</si>
  <si>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</si>
  <si>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Investments</t>
  </si>
  <si>
    <t>Other Assets -</t>
  </si>
  <si>
    <t>Inventories</t>
  </si>
  <si>
    <t>Trade receivables </t>
  </si>
  <si>
    <t>Cash Equivalents</t>
  </si>
  <si>
    <t>Loans n Advances</t>
  </si>
  <si>
    <t>Other asset items</t>
  </si>
  <si>
    <t>Average Trade Recivable</t>
  </si>
  <si>
    <t>Total Assets</t>
  </si>
  <si>
    <t>Average Total Asset</t>
  </si>
  <si>
    <t>Average Inventory</t>
  </si>
  <si>
    <t>Sales -</t>
  </si>
  <si>
    <t>Sales Growth %</t>
  </si>
  <si>
    <t>Expenses -</t>
  </si>
  <si>
    <t>Manufacturing Cost %</t>
  </si>
  <si>
    <t>Employee Cost %</t>
  </si>
  <si>
    <t>Other Cost %</t>
  </si>
  <si>
    <t>Operating Profit</t>
  </si>
  <si>
    <t>OPM %</t>
  </si>
  <si>
    <t>Other Income -</t>
  </si>
  <si>
    <t>Exceptional items</t>
  </si>
  <si>
    <t>Other income normal</t>
  </si>
  <si>
    <t>Interest</t>
  </si>
  <si>
    <t>Depreciation</t>
  </si>
  <si>
    <t>Profit before tax</t>
  </si>
  <si>
    <t>Tax %</t>
  </si>
  <si>
    <t>Net Profit -</t>
  </si>
  <si>
    <t>Exceptional items AT</t>
  </si>
  <si>
    <t>Profit excl Excep</t>
  </si>
  <si>
    <t>Profit for PE</t>
  </si>
  <si>
    <t>Profit for EPS</t>
  </si>
  <si>
    <t>EPS in Rs</t>
  </si>
  <si>
    <t>Dividend Payout %</t>
  </si>
  <si>
    <t>Cash from Operating Activity -</t>
  </si>
  <si>
    <t>Profit from operations</t>
  </si>
  <si>
    <t>Receivables</t>
  </si>
  <si>
    <t>Inventory</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</si>
  <si>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</si>
  <si>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</si>
  <si>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</si>
  <si>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</si>
  <si>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</si>
  <si>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</si>
  <si>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</si>
  <si>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</si>
  <si>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</si>
  <si>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</si>
  <si>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</si>
  <si>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</si>
  <si>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</si>
  <si>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Loans to subsidiaries</t>
  </si>
  <si>
    <t>Investment in group cos</t>
  </si>
  <si>
    <t>Redemp n Canc of Shares</t>
  </si>
  <si>
    <t>Acquisition of companies</t>
  </si>
  <si>
    <t>Inter corporate deposits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</si>
  <si>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</si>
  <si>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</si>
  <si>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</si>
  <si>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</si>
  <si>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</si>
  <si>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</si>
  <si>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</si>
  <si>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</si>
  <si>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</si>
  <si>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Net Cash Flow</t>
  </si>
  <si>
    <t>Promoters -</t>
  </si>
  <si>
    <t>Tata Sons Private Limited</t>
  </si>
  <si>
    <t>Here taken as Standalone from Screener</t>
  </si>
  <si>
    <t>Tata Steel Limited</t>
  </si>
  <si>
    <t>Tata Investment Corporation Ltd</t>
  </si>
  <si>
    <t>Tata Industries Limited</t>
  </si>
  <si>
    <t>Ewart Investments Limited</t>
  </si>
  <si>
    <t>Sir Dorabji Tata Trust</t>
  </si>
  <si>
    <t>Sir Ratan Tata Trust</t>
  </si>
  <si>
    <t>Sir Dorabji Tata Trust (R N Tata)(V Srinivasan)(V ...</t>
  </si>
  <si>
    <t>Sheba Properties Ltd</t>
  </si>
  <si>
    <t>Tata Motors Finance Limited</t>
  </si>
  <si>
    <t>J R D Tata Trust</t>
  </si>
  <si>
    <t>J R D Trust</t>
  </si>
  <si>
    <t>Sir Ratan Tata Trust (R N Tata)(V Srinivasan)(V Si...</t>
  </si>
  <si>
    <t>JRD Tata Trust (R N Tata)(V Srinivasan)(V Singh)</t>
  </si>
  <si>
    <t>(Mr. R.N. Tata)</t>
  </si>
  <si>
    <t>(Mr. V. Si...</t>
  </si>
  <si>
    <t>(Mr. V. Singh...</t>
  </si>
  <si>
    <t>JRD Tata Trust</t>
  </si>
  <si>
    <t>(Mr. R. N. Tata)</t>
  </si>
  <si>
    <t>(Mr. Vijay Singh)</t>
  </si>
  <si>
    <t>...</t>
  </si>
  <si>
    <t>(Formerly Tata Motors...</t>
  </si>
  <si>
    <t>TMF Business Services Limited</t>
  </si>
  <si>
    <t>(Formerly Tata Moto...</t>
  </si>
  <si>
    <t>(Mr. Vijay S...</t>
  </si>
  <si>
    <t>(Mr. Vija...</t>
  </si>
  <si>
    <t>SIR DORABJI TATA TRUST</t>
  </si>
  <si>
    <t>(Mr. Noel N. Tata)</t>
  </si>
  <si>
    <t>(Mr. V...</t>
  </si>
  <si>
    <t>SIR RATAN TATA TRUST</t>
  </si>
  <si>
    <t>(Mr. Venu...</t>
  </si>
  <si>
    <t>J.R.D. TATA TRUST</t>
  </si>
  <si>
    <t>(Mr. Venu Sr...</t>
  </si>
  <si>
    <t>FIIs -</t>
  </si>
  <si>
    <t>Matthews Pacific Tiger Fund</t>
  </si>
  <si>
    <t>First State Investments Icvc- Stewart Investors Gl...</t>
  </si>
  <si>
    <t>Stewart Investors Global Emerging Markets Leaders Fund</t>
  </si>
  <si>
    <t>(i) Matthews Pacific Tiger Fund</t>
  </si>
  <si>
    <t>First State Investments Global Emerging Markets Le...</t>
  </si>
  <si>
    <t>Mahout Global Emerging Markets Leaders Fund, A Sub...</t>
  </si>
  <si>
    <t>DIIs -</t>
  </si>
  <si>
    <t>Life Insurance Corporation of India</t>
  </si>
  <si>
    <t>ICICI Prudential Bharat Consumption Funds</t>
  </si>
  <si>
    <t>Icici Prudential Funds *</t>
  </si>
  <si>
    <t>Icici Prudential Balanced Fund</t>
  </si>
  <si>
    <t>The New India Assurance Company Limited</t>
  </si>
  <si>
    <t>Nippon Life India Trustee Ltd-A/C Nippon India Lar...</t>
  </si>
  <si>
    <t>Reliance Capital Trustee Co Ltd- A/C Nippon Mutual Funds</t>
  </si>
  <si>
    <t>General Insurance Corporation Of India</t>
  </si>
  <si>
    <t>SBI Etf Bse 100</t>
  </si>
  <si>
    <t>Reliance Capital Trustee Co Ltd A/C Reliance Etf I...</t>
  </si>
  <si>
    <t>Quant Mutual Fund-Quant Elss Tax Saver Fund</t>
  </si>
  <si>
    <t>HDFC Life Insurance Company Limited</t>
  </si>
  <si>
    <t>Mirae Asset Large &amp; Midcap Fund</t>
  </si>
  <si>
    <t>Franklin India Equity Advantage Funds</t>
  </si>
  <si>
    <t>General Insurance Corporation of India</t>
  </si>
  <si>
    <t>Government -</t>
  </si>
  <si>
    <t>Public -</t>
  </si>
  <si>
    <t>No. of Shareholders</t>
  </si>
  <si>
    <t>Ideal Value</t>
  </si>
  <si>
    <t>Formulas</t>
  </si>
  <si>
    <t>Average</t>
  </si>
  <si>
    <t>Analysis</t>
  </si>
  <si>
    <t>Ideal value is the median of all ratio values of the power industry.</t>
  </si>
  <si>
    <t>Profitability Ratios</t>
  </si>
  <si>
    <t>Net Profit Ratio</t>
  </si>
  <si>
    <t>Net Profit / Sales</t>
  </si>
  <si>
    <t>Volatile trend with sharp dips (FY18) and surges post-FY22; mostly outperforms average (8.09%) and meets/exceeds ideal (13.72%) in recent years.</t>
  </si>
  <si>
    <t>Good</t>
  </si>
  <si>
    <t>Excellent</t>
  </si>
  <si>
    <t>Bad</t>
  </si>
  <si>
    <t>Operating Margin</t>
  </si>
  <si>
    <t>-</t>
  </si>
  <si>
    <t>Generally strong margins close to ideal (30%) except dips in FY19 and FY22; average (22.33%) met or exceeded in most years.</t>
  </si>
  <si>
    <t>Return on Assets</t>
  </si>
  <si>
    <t>Net Profit / Total Assets</t>
  </si>
  <si>
    <t>Fluctuating trend but performance improved post-FY22; beat both ideal (2.62%) and average (2.59%) recently, showing better asset utilization.</t>
  </si>
  <si>
    <t>Return on Capital Employed</t>
  </si>
  <si>
    <t>Operating profit / Capital employed</t>
  </si>
  <si>
    <t>Weak and inconsistent returns on capital; only FY16, FY24, and FY25 exceed ideal (8.69%), rest underperform average (7.49%).</t>
  </si>
  <si>
    <t>Return on Equity</t>
  </si>
  <si>
    <t>Net Profit / Total Equity</t>
  </si>
  <si>
    <t>ROE deteriorated sharply in FY18 but rebounded strongly post-FY22; recent years exceed both ideal (7.46%) and average (8.04%).</t>
  </si>
  <si>
    <t>Dividend Payout Ratio</t>
  </si>
  <si>
    <t>Highly erratic dividend policy with multiple years of unsustainable payouts (&gt;100%) and only a few years aligning with the ideal reinvestment-focused range (0–30%).</t>
  </si>
  <si>
    <t>Price to Earnings Ratio</t>
  </si>
  <si>
    <t>(MV/BV)/ROE</t>
  </si>
  <si>
    <t>Highly volatile and often distorted (negative FY18); oscillates around ideal (34.8), with occasional overvaluation and undervaluation signals.</t>
  </si>
  <si>
    <t>Market Value/Book Value</t>
  </si>
  <si>
    <t>Improved significantly in recent years, moving from undervaluation to high premiums; mostly exceeds ideal (2.41) post-FY22, signaling strong market confidence.</t>
  </si>
  <si>
    <t>Liquidity Ratio</t>
  </si>
  <si>
    <t>Current Ratio</t>
  </si>
  <si>
    <t>current assets / current liabilities</t>
  </si>
  <si>
    <t>Strong current ratio, suggesting firm has enough assets to meet its liabilities in the short term. However, a declining trend is observed post 2021.</t>
  </si>
  <si>
    <t>Quick Ratio</t>
  </si>
  <si>
    <t>(current assets - inventories) / current liabilities</t>
  </si>
  <si>
    <t>A similar trend is observed as the Current ratios, remained consistent over the years till FY22, thereafter a decline is observed</t>
  </si>
  <si>
    <t>bad</t>
  </si>
  <si>
    <t>Capital Structure Ratio</t>
  </si>
  <si>
    <t>Debt to Equity Ratio(Total debt/TE)</t>
  </si>
  <si>
    <t>Total debt / total equity</t>
  </si>
  <si>
    <t>Optimal Debt/Equity ratio, suggests that firm has enough capacity to meet its debt obligations. However, the ratio has shown a risky trend in the COVID period(probable cause)</t>
  </si>
  <si>
    <t>optimal</t>
  </si>
  <si>
    <t>risky</t>
  </si>
  <si>
    <t>Debt to Assets Ratio</t>
  </si>
  <si>
    <t>Borrowings/Total Asset</t>
  </si>
  <si>
    <t>Firm is consistent with its debt policies and has optimal level of debt. Similar risky trends observed in 2021 and 2022.</t>
  </si>
  <si>
    <t>potentially risky</t>
  </si>
  <si>
    <t>Interest Coverage Ratio</t>
  </si>
  <si>
    <t>Operating Income/Interest expense</t>
  </si>
  <si>
    <t>Highly volatile (less than the industry average since 2019)</t>
  </si>
  <si>
    <t>Equity to Asset Ratio</t>
  </si>
  <si>
    <t>Shareholders Equity/Total Asset</t>
  </si>
  <si>
    <t>Consistency in the result,  low Equity/Asset ratio than the industry average.</t>
  </si>
  <si>
    <t>Turnover Ratios</t>
  </si>
  <si>
    <t>Inventory Turnover</t>
  </si>
  <si>
    <t>Inventory turnover is higher than the industry average ratio(2). Increasing trend observed across the years, suggesting that firm is efficiently utilizing its inventory</t>
  </si>
  <si>
    <t>Debtors Turnover</t>
  </si>
  <si>
    <t>sales/Average Recivable</t>
  </si>
  <si>
    <t>Debtor's Turnover ratio is higher than the industry average(4.79) which suggests that firm is able to collect its revenue efficiently</t>
  </si>
  <si>
    <t>Fixed Assets Turnover</t>
  </si>
  <si>
    <t>Sales/Fixed total asset</t>
  </si>
  <si>
    <t>Higher than the industry average of 0.2461, reflecting that fixed assets are used efficiently to generate revenue</t>
  </si>
  <si>
    <t>Total Assets Turnover</t>
  </si>
  <si>
    <t>Sales/Average Total Asset</t>
  </si>
  <si>
    <t>Higher than the industry average of 0.17, reflecting that  assets are used efficiently to generate revenue, consistent with the efficient use of fixed assets</t>
  </si>
  <si>
    <t>DU PONT ANALYSIS</t>
  </si>
  <si>
    <t>ROE - Dupont Equation</t>
  </si>
  <si>
    <t>Net Profit</t>
  </si>
  <si>
    <t>Revenue</t>
  </si>
  <si>
    <t>Net Profit Margin (A)</t>
  </si>
  <si>
    <t>Asset Turnover Ratio (B)</t>
  </si>
  <si>
    <t>Average Shareholder Equity</t>
  </si>
  <si>
    <t>Equity Multiplier (C)</t>
  </si>
  <si>
    <t>Return on Equity (A*B*C)</t>
  </si>
  <si>
    <t xml:space="preserve">This shows that the calculated Du Pont values are close to actual industry values </t>
  </si>
  <si>
    <t>ROA - Dupont Equation</t>
  </si>
  <si>
    <t>Return on Asset (A*B)</t>
  </si>
  <si>
    <t>Returns on Market (To calculate Rm)</t>
  </si>
  <si>
    <t xml:space="preserve">Nifty 50 -25 Years Market Return </t>
  </si>
  <si>
    <t>Year</t>
  </si>
  <si>
    <t>Annual</t>
  </si>
  <si>
    <t>Average Return</t>
  </si>
  <si>
    <t xml:space="preserve">Dividend Yield </t>
  </si>
  <si>
    <t>Total Market return</t>
  </si>
  <si>
    <t>Peers to Our companies</t>
  </si>
  <si>
    <t>NIFTY RETURNS</t>
  </si>
  <si>
    <t xml:space="preserve">TATA POWER </t>
  </si>
  <si>
    <t>Beta Drifting</t>
  </si>
  <si>
    <t>Date</t>
  </si>
  <si>
    <t>Price</t>
  </si>
  <si>
    <t>Change %</t>
  </si>
  <si>
    <t>NTPC</t>
  </si>
  <si>
    <t>Power Grid Corporation of India </t>
  </si>
  <si>
    <t>NHPC</t>
  </si>
  <si>
    <t xml:space="preserve">Adani Green </t>
  </si>
  <si>
    <t>01/26/2025</t>
  </si>
  <si>
    <t>Levered Raw beta</t>
  </si>
  <si>
    <t>01/19/2025</t>
  </si>
  <si>
    <t>Raw Beta weight</t>
  </si>
  <si>
    <t>HERE TAKE NOTE ALL THE DATA HAS BEEN CHANGED TO 5 YEAR</t>
  </si>
  <si>
    <t>Market Beta</t>
  </si>
  <si>
    <t>12/29/2024</t>
  </si>
  <si>
    <t>Market Beta weight</t>
  </si>
  <si>
    <t>12/22/2024</t>
  </si>
  <si>
    <t>12/15/2024</t>
  </si>
  <si>
    <t>Adj Beta for TATA POWER</t>
  </si>
  <si>
    <t>mean reversion tendencies toward 1, using 75% weight to the levered beta and 25% weight to the market Beta thus to come towards mean it will get adjusted to 1.52 from 1.69</t>
  </si>
  <si>
    <t>11/24/2024</t>
  </si>
  <si>
    <t>11/17/2024</t>
  </si>
  <si>
    <t>Peers Beta using Historical data</t>
  </si>
  <si>
    <t>Beta NTPC</t>
  </si>
  <si>
    <t xml:space="preserve">Slope Method </t>
  </si>
  <si>
    <t>Beta 1  TATA POWER</t>
  </si>
  <si>
    <t>Beta Power Grid</t>
  </si>
  <si>
    <t>10/27/2024</t>
  </si>
  <si>
    <t>Covariance Method</t>
  </si>
  <si>
    <t>Beta 2  TATA POWER</t>
  </si>
  <si>
    <t>Beta NHPC Energy</t>
  </si>
  <si>
    <t>10/20/2024</t>
  </si>
  <si>
    <t xml:space="preserve">Statistical Regression </t>
  </si>
  <si>
    <t>Beta 3  TATA POWER</t>
  </si>
  <si>
    <t>Beta Adani green</t>
  </si>
  <si>
    <t>10/13/2024</t>
  </si>
  <si>
    <t>09/29/2024</t>
  </si>
  <si>
    <t>09/22/2024</t>
  </si>
  <si>
    <t>09/15/2024</t>
  </si>
  <si>
    <t>SUMMARY OUTPUT</t>
  </si>
  <si>
    <t>Regression Statistics</t>
  </si>
  <si>
    <t>08/25/2024</t>
  </si>
  <si>
    <t>Multiple R</t>
  </si>
  <si>
    <t>08/18/2024</t>
  </si>
  <si>
    <t>R Square</t>
  </si>
  <si>
    <t>EXPLAING THE SIGNIFICANCE OF R2</t>
  </si>
  <si>
    <t>Adjusted R Square</t>
  </si>
  <si>
    <t>Standard Error</t>
  </si>
  <si>
    <t>07/28/2024</t>
  </si>
  <si>
    <t>Observations</t>
  </si>
  <si>
    <t>07/21/2024</t>
  </si>
  <si>
    <t>07/14/2024</t>
  </si>
  <si>
    <t>ANOVA</t>
  </si>
  <si>
    <t>df</t>
  </si>
  <si>
    <t>SS</t>
  </si>
  <si>
    <t>MS</t>
  </si>
  <si>
    <t>F</t>
  </si>
  <si>
    <t>Significance F</t>
  </si>
  <si>
    <t>06/30/2024</t>
  </si>
  <si>
    <t>Regression</t>
  </si>
  <si>
    <t>06/23/2024</t>
  </si>
  <si>
    <t>Residual</t>
  </si>
  <si>
    <t>06/16/2024</t>
  </si>
  <si>
    <t>Total</t>
  </si>
  <si>
    <t>Coefficients</t>
  </si>
  <si>
    <t>t Stat</t>
  </si>
  <si>
    <t>P-value</t>
  </si>
  <si>
    <t>Lower 95%</t>
  </si>
  <si>
    <t>Upper 95%</t>
  </si>
  <si>
    <t>Lower 95.0%</t>
  </si>
  <si>
    <t>Upper 95.0%</t>
  </si>
  <si>
    <t>05/26/2024</t>
  </si>
  <si>
    <t>Intercept</t>
  </si>
  <si>
    <t>05/19/2024</t>
  </si>
  <si>
    <t>04/28/2024</t>
  </si>
  <si>
    <t>04/21/2024</t>
  </si>
  <si>
    <t>04/14/2024</t>
  </si>
  <si>
    <t>03/31/2024</t>
  </si>
  <si>
    <t>03/24/2024</t>
  </si>
  <si>
    <t>03/17/2024</t>
  </si>
  <si>
    <t>02/25/2024</t>
  </si>
  <si>
    <t>02/18/2024</t>
  </si>
  <si>
    <t>01/28/2024</t>
  </si>
  <si>
    <t>01/21/2024</t>
  </si>
  <si>
    <t>01/14/2024</t>
  </si>
  <si>
    <t>12/31/2023</t>
  </si>
  <si>
    <t>12/24/2023</t>
  </si>
  <si>
    <t>12/17/2023</t>
  </si>
  <si>
    <t>11/26/2023</t>
  </si>
  <si>
    <t>11/19/2023</t>
  </si>
  <si>
    <t>10/29/2023</t>
  </si>
  <si>
    <t>10/22/2023</t>
  </si>
  <si>
    <t>10/15/2023</t>
  </si>
  <si>
    <t>09/24/2023</t>
  </si>
  <si>
    <t>09/17/2023</t>
  </si>
  <si>
    <t>08/27/2023</t>
  </si>
  <si>
    <t>08/20/2023</t>
  </si>
  <si>
    <t>08/13/2023</t>
  </si>
  <si>
    <t>07/30/2023</t>
  </si>
  <si>
    <t>07/23/2023</t>
  </si>
  <si>
    <t>07/16/2023</t>
  </si>
  <si>
    <t>06/25/2023</t>
  </si>
  <si>
    <t>06/18/2023</t>
  </si>
  <si>
    <t>05/28/2023</t>
  </si>
  <si>
    <t>05/21/2023</t>
  </si>
  <si>
    <t>05/14/2023</t>
  </si>
  <si>
    <t>04/30/2023</t>
  </si>
  <si>
    <t>04/23/2023</t>
  </si>
  <si>
    <t>04/16/2023</t>
  </si>
  <si>
    <t>03/26/2023</t>
  </si>
  <si>
    <t>03/19/2023</t>
  </si>
  <si>
    <t>02/26/2023</t>
  </si>
  <si>
    <t>02/19/2023</t>
  </si>
  <si>
    <t>01/29/2023</t>
  </si>
  <si>
    <t>01/22/2023</t>
  </si>
  <si>
    <t>01/15/2023</t>
  </si>
  <si>
    <t>12/25/2022</t>
  </si>
  <si>
    <t>12/18/2022</t>
  </si>
  <si>
    <t>11/27/2022</t>
  </si>
  <si>
    <t>11/20/2022</t>
  </si>
  <si>
    <t>11/13/2022</t>
  </si>
  <si>
    <t>10/30/2022</t>
  </si>
  <si>
    <t>10/23/2022</t>
  </si>
  <si>
    <t>10/16/2022</t>
  </si>
  <si>
    <t>09/25/2022</t>
  </si>
  <si>
    <t>09/18/2022</t>
  </si>
  <si>
    <t>08/28/2022</t>
  </si>
  <si>
    <t>08/21/2022</t>
  </si>
  <si>
    <t>08/14/2022</t>
  </si>
  <si>
    <t>07/31/2022</t>
  </si>
  <si>
    <t>07/24/2022</t>
  </si>
  <si>
    <t>07/17/2022</t>
  </si>
  <si>
    <t>06/26/2022</t>
  </si>
  <si>
    <t>06/19/2022</t>
  </si>
  <si>
    <t>05/29/2022</t>
  </si>
  <si>
    <t>05/22/2022</t>
  </si>
  <si>
    <t>05/15/2022</t>
  </si>
  <si>
    <t>04/24/2022</t>
  </si>
  <si>
    <t>04/17/2022</t>
  </si>
  <si>
    <t>03/27/2022</t>
  </si>
  <si>
    <t>03/20/2022</t>
  </si>
  <si>
    <t>03/13/2022</t>
  </si>
  <si>
    <t>02/27/2022</t>
  </si>
  <si>
    <t>02/20/2022</t>
  </si>
  <si>
    <t>02/13/2022</t>
  </si>
  <si>
    <t>01/30/2022</t>
  </si>
  <si>
    <t>01/23/2022</t>
  </si>
  <si>
    <t>01/16/2022</t>
  </si>
  <si>
    <t>12/26/2021</t>
  </si>
  <si>
    <t>12/19/2021</t>
  </si>
  <si>
    <t>11/28/2021</t>
  </si>
  <si>
    <t>11/21/2021</t>
  </si>
  <si>
    <t>11/14/2021</t>
  </si>
  <si>
    <t>10/31/2021</t>
  </si>
  <si>
    <t>10/24/2021</t>
  </si>
  <si>
    <t>10/17/2021</t>
  </si>
  <si>
    <t>09/26/2021</t>
  </si>
  <si>
    <t>09/19/2021</t>
  </si>
  <si>
    <t>08/29/2021</t>
  </si>
  <si>
    <t>08/22/2021</t>
  </si>
  <si>
    <t>08/15/2021</t>
  </si>
  <si>
    <t>07/25/2021</t>
  </si>
  <si>
    <t>07/18/2021</t>
  </si>
  <si>
    <t>06/27/2021</t>
  </si>
  <si>
    <t>06/20/2021</t>
  </si>
  <si>
    <t>06/13/2021</t>
  </si>
  <si>
    <t>05/30/2021</t>
  </si>
  <si>
    <t>05/23/2021</t>
  </si>
  <si>
    <t>05/16/2021</t>
  </si>
  <si>
    <t>04/25/2021</t>
  </si>
  <si>
    <t>04/18/2021</t>
  </si>
  <si>
    <t>03/28/2021</t>
  </si>
  <si>
    <t>03/21/2021</t>
  </si>
  <si>
    <t>03/14/2021</t>
  </si>
  <si>
    <t>02/28/2021</t>
  </si>
  <si>
    <t>02/21/2021</t>
  </si>
  <si>
    <t>02/14/2021</t>
  </si>
  <si>
    <t>This sheets does a peer comparison of Tata Power and power sector firms on basis of their (Debt to equity ratio) , and later using that and levered and unlevered beta by bottom Up approach, we have calculated the Required Returns or Cost of equity (Ke by CAPM model)</t>
  </si>
  <si>
    <t>Peer Comparison</t>
  </si>
  <si>
    <t>Name</t>
  </si>
  <si>
    <t>Total debt</t>
  </si>
  <si>
    <t>Total Equity</t>
  </si>
  <si>
    <t>Tax Rate</t>
  </si>
  <si>
    <t>Debt/.  Equity</t>
  </si>
  <si>
    <t>Debt/. Capital</t>
  </si>
  <si>
    <t>Levered Beta</t>
  </si>
  <si>
    <t>Unlevered Beta</t>
  </si>
  <si>
    <t>Tata Power Co.</t>
  </si>
  <si>
    <t>Power Grid corp</t>
  </si>
  <si>
    <t>Adani Green</t>
  </si>
  <si>
    <t>NHPC Ltd</t>
  </si>
  <si>
    <t>Median</t>
  </si>
  <si>
    <t xml:space="preserve">*Tax rate is take as 30% which is market standard </t>
  </si>
  <si>
    <t>Current</t>
  </si>
  <si>
    <t>Companies average beta (unlevered)</t>
  </si>
  <si>
    <t>Total Debt</t>
  </si>
  <si>
    <t>Current debt/equity</t>
  </si>
  <si>
    <t>Market Capitalization</t>
  </si>
  <si>
    <t>Tax rate</t>
  </si>
  <si>
    <t>Total Capitalization</t>
  </si>
  <si>
    <t>Debt/Equity</t>
  </si>
  <si>
    <t>Risk free rate (India)</t>
  </si>
  <si>
    <t>Market return (NIFTY 50 : 25 years)</t>
  </si>
  <si>
    <t>Equity Risk premium</t>
  </si>
  <si>
    <t>Ke</t>
  </si>
  <si>
    <t>Formula used for calculation (CAPM model) -&gt; Ke = [rf+ (rm-rf)*beta]</t>
  </si>
  <si>
    <r>
      <rPr>
        <rFont val="Times"/>
        <color rgb="FF000000"/>
        <sz val="14.0"/>
      </rPr>
      <t> This is a table that relates the interest coverage ratio of a firm to a "synthetic" rating and a default spread that goes with that rating. The link between interest coverage ratios and ratings was developed by looking at all rated companies in the</t>
    </r>
    <r>
      <rPr>
        <rFont val="Times"/>
        <b/>
        <color rgb="FF000000"/>
        <sz val="14.0"/>
      </rPr>
      <t xml:space="preserve"> United States.</t>
    </r>
    <r>
      <rPr>
        <rFont val="Times"/>
        <color rgb="FF000000"/>
        <sz val="14.0"/>
      </rPr>
      <t xml:space="preserve"> The default spreads are obtained from traded bonds. Adding that number to a riskfree rate should yield the pre-tax cost of borrowing for a firm.</t>
    </r>
  </si>
  <si>
    <r>
      <rPr>
        <rFont val="Times"/>
        <b/>
        <color rgb="FF000000"/>
        <sz val="14.0"/>
      </rPr>
      <t>Date of Analysis</t>
    </r>
    <r>
      <rPr>
        <rFont val="Times"/>
        <b val="0"/>
        <color rgb="FF000000"/>
        <sz val="14.0"/>
      </rPr>
      <t>: Data used is as of January 2025</t>
    </r>
  </si>
  <si>
    <t xml:space="preserve">*Since this synthetic ratings are US based we are adjusting the default spread for India </t>
  </si>
  <si>
    <t xml:space="preserve">USA </t>
  </si>
  <si>
    <t xml:space="preserve">India </t>
  </si>
  <si>
    <t>For large non-financial service firms</t>
  </si>
  <si>
    <t>For financial service firms (default spreads are slighty different)</t>
  </si>
  <si>
    <t>Adj. Default Spread</t>
  </si>
  <si>
    <t>Equity Risk Premium</t>
  </si>
  <si>
    <t>Country Risk Premium</t>
  </si>
  <si>
    <t>Corporate Tax Rate</t>
  </si>
  <si>
    <t>If interest coverage ratio is</t>
  </si>
  <si>
    <t>If long term interest coverage ratio is</t>
  </si>
  <si>
    <t>&gt;</t>
  </si>
  <si>
    <t>≤ to</t>
  </si>
  <si>
    <t>Rating is</t>
  </si>
  <si>
    <t>Spread is</t>
  </si>
  <si>
    <t>greater than</t>
  </si>
  <si>
    <t>1)</t>
  </si>
  <si>
    <t>Tata Power rating</t>
  </si>
  <si>
    <t>Ba1</t>
  </si>
  <si>
    <t>kd = RFR (India) + Default spread of the BA rated bond (India) (adjusted) (by US based spread + adjusted default spread of India relative to US)</t>
  </si>
  <si>
    <t>D2/D</t>
  </si>
  <si>
    <t>(Moody)</t>
  </si>
  <si>
    <t>C2/C</t>
  </si>
  <si>
    <t>2)</t>
  </si>
  <si>
    <t>Formula Used</t>
  </si>
  <si>
    <t>Kd = interest expenses/ (interest bearing debt)</t>
  </si>
  <si>
    <t>Ca2/CC</t>
  </si>
  <si>
    <t>Caa/CCC</t>
  </si>
  <si>
    <t>Cost of debt after tax</t>
  </si>
  <si>
    <t>B3/B-</t>
  </si>
  <si>
    <t>B2/B</t>
  </si>
  <si>
    <t>B1/B+</t>
  </si>
  <si>
    <t>Ba2/BB</t>
  </si>
  <si>
    <t>Ba1/BB+</t>
  </si>
  <si>
    <t>Baa2/BBB</t>
  </si>
  <si>
    <t>A3/A-</t>
  </si>
  <si>
    <t>A2/A</t>
  </si>
  <si>
    <t>A1/A+</t>
  </si>
  <si>
    <t>Aa2/AA</t>
  </si>
  <si>
    <t>Aaa/AAA</t>
  </si>
  <si>
    <t>For smaller and riskier non-financial service firms</t>
  </si>
  <si>
    <t>Wt. of debt</t>
  </si>
  <si>
    <t>Cost of debt(pre-tax)</t>
  </si>
  <si>
    <t>Cost of debt @30 TAX</t>
  </si>
  <si>
    <t>Calculating using synthetic rating adjusted to indian economy</t>
  </si>
  <si>
    <t>Wt of Equity</t>
  </si>
  <si>
    <t>Cost of Equity</t>
  </si>
  <si>
    <t>Calculated using CAPM model</t>
  </si>
  <si>
    <t xml:space="preserve">HERE WE WILL TAKE CONSOLIDATES/STANDALONE BASED ON THE COMPANY </t>
  </si>
  <si>
    <t>NET BLOCK</t>
  </si>
  <si>
    <t xml:space="preserve"> </t>
  </si>
  <si>
    <t>To find growth of the firm we will use reinvestment rate and Return on capital</t>
  </si>
  <si>
    <t>Assets Purchased</t>
  </si>
  <si>
    <t>Assets Sold</t>
  </si>
  <si>
    <t>Calculation of ROC</t>
  </si>
  <si>
    <t>Current Asset</t>
  </si>
  <si>
    <t>Total Current Asset</t>
  </si>
  <si>
    <t>Current Liability</t>
  </si>
  <si>
    <t>Total Current Liablity</t>
  </si>
  <si>
    <t>Net Working Capital</t>
  </si>
  <si>
    <t>Non Current Asset</t>
  </si>
  <si>
    <t>Acc Dep</t>
  </si>
  <si>
    <t>Net Non Current Asset</t>
  </si>
  <si>
    <t>Invested Capital</t>
  </si>
  <si>
    <t>PBT</t>
  </si>
  <si>
    <t>EBIT</t>
  </si>
  <si>
    <t>ROIC</t>
  </si>
  <si>
    <t>Calculation of Reinvestment rate</t>
  </si>
  <si>
    <t>Net capex</t>
  </si>
  <si>
    <t>Change in WC</t>
  </si>
  <si>
    <t>Marginal tax rate</t>
  </si>
  <si>
    <t xml:space="preserve">Reinvestment </t>
  </si>
  <si>
    <t>Reinvestment rate</t>
  </si>
  <si>
    <t>Intrinsic Growth</t>
  </si>
  <si>
    <t>*The growth calculation of Tata Power was conducted using its consolidated financial statements rather than the standalone statements, as the latter did not provide a comprehensive view of the company's financial position. This is primarily because Tata Power is actively investing in its subsidiaries as part of its strategic shift towards green energy and renewable initiatives. The consolidated balance sheet, therefore, more accurately reflects the overall financial health and growth trajectory of the firm, capturing the impact of its diversification and expansion through its group entities</t>
  </si>
  <si>
    <t>Calculation of PV of FCFF</t>
  </si>
  <si>
    <t>EBIT (1-T)</t>
  </si>
  <si>
    <t>Less: Reinvestment Rate</t>
  </si>
  <si>
    <t>Free Cash Flow to Firm</t>
  </si>
  <si>
    <t>Mid Year Convention</t>
  </si>
  <si>
    <t>Discounting Factor</t>
  </si>
  <si>
    <t>PV of FCFF</t>
  </si>
  <si>
    <t>Calculation of Terminal Value</t>
  </si>
  <si>
    <t>Expected Growth Rate</t>
  </si>
  <si>
    <t>Calculated as intrinsic growth rate</t>
  </si>
  <si>
    <t>FCFF (n+1)</t>
  </si>
  <si>
    <t>Terminal Growth rate</t>
  </si>
  <si>
    <t>Power industry CAGR projected</t>
  </si>
  <si>
    <t>Calculated earlier by Kd and Ke</t>
  </si>
  <si>
    <t>Terminal Growth Rate</t>
  </si>
  <si>
    <t>Terminal Value</t>
  </si>
  <si>
    <t>Calculation of Enterprise Value</t>
  </si>
  <si>
    <t>PV of Terminal Value</t>
  </si>
  <si>
    <t>Enterprise Value</t>
  </si>
  <si>
    <t>Add: Cash</t>
  </si>
  <si>
    <t>Less: Debt</t>
  </si>
  <si>
    <t>Value of Equity</t>
  </si>
  <si>
    <t>No. of Shares (in crores)</t>
  </si>
  <si>
    <t>Equity Value per Share</t>
  </si>
  <si>
    <t>Share Price (Average last 6 months)</t>
  </si>
  <si>
    <t>Discount/Premium</t>
  </si>
  <si>
    <t>Verdict</t>
  </si>
  <si>
    <t>Slightly Overvalued (close to Par Valuation)</t>
  </si>
  <si>
    <t xml:space="preserve">As the market share price is greater than the equity value per share calculated </t>
  </si>
  <si>
    <t>Note : The mid-year convention better reflects the reality that cash flows are received throughout the year, not all at once at year-end.
It leads to slightly higher valuations due to less discounting and is widely used in professional valuations (investment banking, PE, etc.).</t>
  </si>
  <si>
    <t>P/E Ratio</t>
  </si>
  <si>
    <t>P/B ratio</t>
  </si>
  <si>
    <t>P/S ratio</t>
  </si>
  <si>
    <t>PEG ratio</t>
  </si>
  <si>
    <t>ROE</t>
  </si>
  <si>
    <t>EV/EBITDA</t>
  </si>
  <si>
    <t>Net Profit Margin</t>
  </si>
  <si>
    <t>Market Cap</t>
  </si>
  <si>
    <t>EPS</t>
  </si>
  <si>
    <t>Outstanding Shares</t>
  </si>
  <si>
    <t>EBITDA</t>
  </si>
  <si>
    <t>Sales</t>
  </si>
  <si>
    <t>Tata Power</t>
  </si>
  <si>
    <r>
      <rPr>
        <rFont val="&quot;Inter var&quot;, Inter, sans-serif"/>
        <color rgb="FF1155CC"/>
        <u/>
      </rPr>
      <t>Adani Power</t>
    </r>
  </si>
  <si>
    <r>
      <rPr>
        <rFont val="&quot;Inter var&quot;, Inter, sans-serif"/>
        <color rgb="FF1155CC"/>
        <u/>
      </rPr>
      <t>Torrent Power</t>
    </r>
  </si>
  <si>
    <r>
      <rPr>
        <rFont val="&quot;Inter var&quot;, Inter, sans-serif"/>
        <color rgb="FF1155CC"/>
        <u/>
      </rPr>
      <t>NTPC</t>
    </r>
  </si>
  <si>
    <r>
      <rPr>
        <rFont val="&quot;Inter var&quot;, Inter, sans-serif"/>
        <color rgb="FF1155CC"/>
        <u/>
      </rPr>
      <t>Power Grid Corpn</t>
    </r>
  </si>
  <si>
    <r>
      <rPr>
        <rFont val="&quot;Inter var&quot;, Inter, sans-serif"/>
        <color rgb="FF1155CC"/>
        <u/>
      </rPr>
      <t>Adani Green</t>
    </r>
  </si>
  <si>
    <r>
      <rPr>
        <rFont val="&quot;Inter var&quot;, Inter, sans-serif"/>
        <color rgb="FF1155CC"/>
        <u/>
      </rPr>
      <t>Adani Energy Sol</t>
    </r>
  </si>
  <si>
    <r>
      <rPr>
        <rFont val="&quot;Inter var&quot;, Inter, sans-serif"/>
        <color rgb="FF1155CC"/>
        <u/>
      </rPr>
      <t>JSW Energy</t>
    </r>
  </si>
  <si>
    <r>
      <rPr>
        <rFont val="&quot;Inter var&quot;, Inter, sans-serif"/>
        <color rgb="FF1155CC"/>
        <u/>
      </rPr>
      <t>NHPC Ltd</t>
    </r>
  </si>
  <si>
    <r>
      <rPr>
        <rFont val="&quot;Inter var&quot;, Inter, sans-serif"/>
        <color rgb="FF1155CC"/>
        <u/>
      </rPr>
      <t>SJVN</t>
    </r>
  </si>
  <si>
    <r>
      <rPr>
        <rFont val="&quot;Inter var&quot;, Inter, sans-serif"/>
        <color rgb="FF1155CC"/>
        <u/>
      </rPr>
      <t>NLC India</t>
    </r>
  </si>
  <si>
    <r>
      <rPr>
        <rFont val="&quot;Inter var&quot;, Inter, sans-serif"/>
        <color rgb="FF1155CC"/>
        <u/>
      </rPr>
      <t>CESC</t>
    </r>
  </si>
  <si>
    <r>
      <rPr>
        <rFont val="&quot;Inter var&quot;, Inter, sans-serif"/>
        <color rgb="FF1155CC"/>
        <u/>
      </rPr>
      <t>Nava</t>
    </r>
  </si>
  <si>
    <r>
      <rPr>
        <rFont val="&quot;Inter var&quot;, Inter, sans-serif"/>
        <color rgb="FF1155CC"/>
        <u/>
      </rPr>
      <t>Torrent Power</t>
    </r>
  </si>
  <si>
    <r>
      <rPr>
        <rFont val="&quot;Inter var&quot;, Inter, sans-serif"/>
        <color rgb="FF1155CC"/>
        <u/>
      </rPr>
      <t>Adani Power</t>
    </r>
  </si>
  <si>
    <r>
      <rPr>
        <rFont val="&quot;Inter var&quot;, Inter, sans-serif"/>
        <color rgb="FF1155CC"/>
        <u/>
      </rPr>
      <t>NTPC</t>
    </r>
  </si>
  <si>
    <r>
      <rPr>
        <rFont val="&quot;Inter var&quot;, Inter, sans-serif"/>
        <color rgb="FF1155CC"/>
        <u/>
      </rPr>
      <t>Power Grid Corpn</t>
    </r>
  </si>
  <si>
    <r>
      <rPr>
        <rFont val="&quot;Inter var&quot;, Inter, sans-serif"/>
        <color rgb="FF1155CC"/>
        <u/>
      </rPr>
      <t>Adani Green</t>
    </r>
  </si>
  <si>
    <r>
      <rPr>
        <rFont val="&quot;Inter var&quot;, Inter, sans-serif"/>
        <color rgb="FF1155CC"/>
        <u/>
      </rPr>
      <t>Adani Energy Sol</t>
    </r>
  </si>
  <si>
    <r>
      <rPr>
        <rFont val="&quot;Inter var&quot;, Inter, sans-serif"/>
        <color rgb="FF1155CC"/>
        <u/>
      </rPr>
      <t>JSW Energy</t>
    </r>
  </si>
  <si>
    <r>
      <rPr>
        <rFont val="&quot;Inter var&quot;, Inter, sans-serif"/>
        <color rgb="FF1155CC"/>
        <u/>
      </rPr>
      <t>NHPC Ltd</t>
    </r>
  </si>
  <si>
    <r>
      <rPr>
        <rFont val="&quot;Inter var&quot;, Inter, sans-serif"/>
        <color rgb="FF1155CC"/>
        <u/>
      </rPr>
      <t>SJVN</t>
    </r>
  </si>
  <si>
    <r>
      <rPr>
        <rFont val="&quot;Inter var&quot;, Inter, sans-serif"/>
        <color rgb="FF1155CC"/>
        <u/>
      </rPr>
      <t>NLC India</t>
    </r>
  </si>
  <si>
    <r>
      <rPr>
        <rFont val="&quot;Inter var&quot;, Inter, sans-serif"/>
        <color rgb="FF1155CC"/>
        <u/>
      </rPr>
      <t>CESC</t>
    </r>
  </si>
  <si>
    <r>
      <rPr>
        <rFont val="&quot;Inter var&quot;, Inter, sans-serif"/>
        <color rgb="FF1155CC"/>
        <u/>
      </rPr>
      <t>Nava</t>
    </r>
  </si>
  <si>
    <t xml:space="preserve">Average </t>
  </si>
  <si>
    <t>Regression (P/E vs growth)</t>
  </si>
  <si>
    <t>X Variable 1</t>
  </si>
  <si>
    <t>RESIDUAL OUTPUT</t>
  </si>
  <si>
    <t>Observation</t>
  </si>
  <si>
    <t>Predicted Y</t>
  </si>
  <si>
    <t>Residuals</t>
  </si>
  <si>
    <t xml:space="preserve">Predicted </t>
  </si>
  <si>
    <t>Conclusion</t>
  </si>
  <si>
    <t xml:space="preserve">%deviation from predicted </t>
  </si>
  <si>
    <t>OVERVALUED</t>
  </si>
  <si>
    <t xml:space="preserve">Regression P/B vs growth </t>
  </si>
  <si>
    <t xml:space="preserve">Slight undervalued / par valued </t>
  </si>
  <si>
    <t xml:space="preserve">Regression P/S vs growth </t>
  </si>
  <si>
    <t>undervalued</t>
  </si>
  <si>
    <t xml:space="preserve">PEG vs Growth Regression </t>
  </si>
  <si>
    <t xml:space="preserve">Over valued </t>
  </si>
  <si>
    <t xml:space="preserve">Analysis </t>
  </si>
  <si>
    <t xml:space="preserve">Tata Power </t>
  </si>
  <si>
    <t xml:space="preserve">Verdict </t>
  </si>
  <si>
    <t xml:space="preserve">Analysis on the basis of only average data (no regression) , and inference according to that </t>
  </si>
  <si>
    <t>P/E ratio</t>
  </si>
  <si>
    <t>34.29x</t>
  </si>
  <si>
    <t xml:space="preserve">Over Valued </t>
  </si>
  <si>
    <t>3.63x</t>
  </si>
  <si>
    <t>1.96x</t>
  </si>
  <si>
    <t xml:space="preserve">Under Valued </t>
  </si>
  <si>
    <t>0.75x</t>
  </si>
  <si>
    <t xml:space="preserve">Slight under Valued </t>
  </si>
  <si>
    <t xml:space="preserve">Slight Over Valued </t>
  </si>
  <si>
    <t xml:space="preserve">Slight Under Valued </t>
  </si>
  <si>
    <t>Balance sheet</t>
  </si>
  <si>
    <t>https://www.screener.in</t>
  </si>
  <si>
    <t>Cash flow statement</t>
  </si>
  <si>
    <t>Shareholding pattern</t>
  </si>
  <si>
    <t xml:space="preserve">Market return </t>
  </si>
  <si>
    <t>https://primeinvestor.in/nifty-50-returns/</t>
  </si>
  <si>
    <t>Beta Calculation</t>
  </si>
  <si>
    <t>https://www.investing.com</t>
  </si>
  <si>
    <t>Risk free rate</t>
  </si>
  <si>
    <t>10 year govt bond(https://www.investing.com)</t>
  </si>
  <si>
    <t>Synthetic Rating</t>
  </si>
  <si>
    <t>https://pages.stern.nyu.edu/~adamodar/New_Home_Page/datafile/ratings.html</t>
  </si>
  <si>
    <t>Adjustment to India</t>
  </si>
  <si>
    <t>https://pages.stern.nyu.edu/~adamodar/New_Home_Page/datafile/ctryprem.html</t>
  </si>
  <si>
    <t xml:space="preserve">Financial rating </t>
  </si>
  <si>
    <t>AGM reports of respective company</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</si>
</sst>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d"/>
    <numFmt numFmtId="165" formatCode="dd/mm/yyyy"/>
    <numFmt numFmtId="166" formatCode="m/d/yyyy"/>
    <numFmt numFmtId="167" formatCode="0.000"/>
    <numFmt numFmtId="168" formatCode="0.0000%"/>
    <numFmt numFmtId="169" formatCode="0.000%"/>
    <numFmt numFmtId="170" formatCode="_(* #,##0.00_);_(* \(#,##0.00\);_(* &quot;-&quot;??_);_(@_)"/>
    <numFmt numFmtId="171" formatCode="mmm-d"/>
    <numFmt numFmtId="172" formatCode="0.0000"/>
    <numFmt numFmtId="173" formatCode="0.00x"/>
  </numFmts>
  <fonts count="82">
    <font>
      <sz val="12.0"/>
      <color theme="1"/>
      <name val="Aptos Narrow"/>
      <scheme val="minor"/>
    </font>
    <font>
      <b/>
      <sz val="22.0"/>
      <color theme="1"/>
      <name val="Aptos Narrow"/>
    </font>
    <font/>
    <font>
      <b/>
      <sz val="16.0"/>
      <color theme="1"/>
      <name val="Arial"/>
    </font>
    <font>
      <color theme="1"/>
      <name val="Aptos Narrow"/>
      <scheme val="minor"/>
    </font>
    <font>
      <b/>
      <sz val="12.0"/>
      <color theme="1"/>
      <name val="Aptos Narrow"/>
    </font>
    <font>
      <u/>
      <sz val="12.0"/>
      <color theme="10"/>
      <name val="Aptos Narrow"/>
    </font>
    <font>
      <u/>
      <color rgb="FF0000FF"/>
      <name val="Arial"/>
    </font>
    <font>
      <sz val="12.0"/>
      <color rgb="FFFFFFFF"/>
      <name val="Arial"/>
    </font>
    <font>
      <sz val="12.0"/>
      <color theme="0"/>
      <name val="Aptos Narrow"/>
    </font>
    <font>
      <sz val="12.0"/>
      <color theme="1"/>
      <name val="Aptos Narrow"/>
    </font>
    <font>
      <sz val="12.0"/>
      <color rgb="FF22222F"/>
      <name val="Arial"/>
    </font>
    <font>
      <sz val="12.0"/>
      <color theme="1"/>
      <name val="Arial"/>
    </font>
    <font>
      <b/>
      <sz val="12.0"/>
      <color rgb="FF22222F"/>
      <name val="Arial"/>
    </font>
    <font>
      <u/>
      <sz val="12.0"/>
      <color theme="10"/>
      <name val="Aptos Narrow"/>
    </font>
    <font>
      <sz val="13.0"/>
      <color rgb="FF000000"/>
      <name val="Calibri"/>
    </font>
    <font>
      <sz val="13.0"/>
      <color rgb="FF22222F"/>
      <name val="Calibri"/>
    </font>
    <font>
      <sz val="13.0"/>
      <color theme="1"/>
      <name val="Calibri"/>
    </font>
    <font>
      <color theme="1"/>
      <name val="Arial"/>
    </font>
    <font>
      <sz val="12.0"/>
      <color theme="0"/>
      <name val="Arial"/>
    </font>
    <font>
      <sz val="11.0"/>
      <color rgb="FF000000"/>
      <name val="Calibri"/>
    </font>
    <font>
      <sz val="11.0"/>
      <color theme="1"/>
      <name val="Calibri"/>
    </font>
    <font>
      <sz val="14.0"/>
      <color rgb="FF333333"/>
      <name val="Arial"/>
    </font>
    <font>
      <sz val="11.0"/>
      <color rgb="FF333333"/>
      <name val="Calibri"/>
    </font>
    <font>
      <sz val="13.0"/>
      <color rgb="FF333333"/>
      <name val="Calibri"/>
    </font>
    <font>
      <sz val="13.0"/>
      <color rgb="FF006100"/>
      <name val="Calibri"/>
    </font>
    <font>
      <sz val="13.0"/>
      <color rgb="FF9C0006"/>
      <name val="Calibri"/>
    </font>
    <font>
      <sz val="20.0"/>
      <color theme="1"/>
      <name val="Arial Rounded"/>
    </font>
    <font>
      <b/>
      <sz val="10.0"/>
      <color rgb="FFFFFFFF"/>
      <name val="Arial"/>
    </font>
    <font>
      <sz val="10.0"/>
      <color rgb="FF000000"/>
      <name val="Arial"/>
    </font>
    <font>
      <b/>
      <sz val="10.0"/>
      <color rgb="FF001F5F"/>
      <name val="Arial"/>
    </font>
    <font>
      <sz val="10.0"/>
      <color rgb="FF001F5F"/>
      <name val="Arial"/>
    </font>
    <font>
      <b/>
      <sz val="10.0"/>
      <color rgb="FF000000"/>
      <name val="Arial"/>
    </font>
    <font>
      <b/>
      <sz val="10.0"/>
      <color theme="0"/>
      <name val="Arial"/>
    </font>
    <font>
      <b/>
      <sz val="12.0"/>
      <color theme="1"/>
      <name val="Arial"/>
    </font>
    <font>
      <b/>
      <color theme="1"/>
      <name val="Arial"/>
    </font>
    <font>
      <b/>
      <sz val="10.0"/>
      <color rgb="FF000000"/>
      <name val="Helvetica Neue"/>
    </font>
    <font>
      <sz val="11.0"/>
      <color theme="1"/>
      <name val="Aptos Narrow"/>
    </font>
    <font>
      <b/>
      <sz val="28.0"/>
      <color theme="1"/>
      <name val="Aptos Narrow"/>
    </font>
    <font>
      <sz val="28.0"/>
      <color theme="1"/>
      <name val="Aptos Narrow"/>
    </font>
    <font>
      <b/>
      <sz val="16.0"/>
      <color theme="1"/>
      <name val="Aptos Narrow"/>
    </font>
    <font>
      <sz val="16.0"/>
      <color theme="1"/>
      <name val="Aptos Narrow"/>
    </font>
    <font>
      <sz val="16.0"/>
      <color rgb="FF000000"/>
      <name val="Helvetica Neue"/>
    </font>
    <font>
      <sz val="10.0"/>
      <color rgb="FF000000"/>
      <name val="Helvetica Neue"/>
    </font>
    <font>
      <color theme="1"/>
      <name val="Helvetica Neue"/>
    </font>
    <font>
      <sz val="13.0"/>
      <color theme="1"/>
      <name val="Arial"/>
    </font>
    <font>
      <b/>
      <sz val="14.0"/>
      <color theme="1"/>
      <name val="Aptos Narrow"/>
    </font>
    <font>
      <sz val="18.0"/>
      <color rgb="FFFFFFFF"/>
      <name val="Aptos Narrow (Body)"/>
    </font>
    <font>
      <i/>
      <sz val="12.0"/>
      <color theme="1"/>
      <name val="Aptos Narrow"/>
    </font>
    <font>
      <u/>
      <sz val="12.0"/>
      <color theme="10"/>
      <name val="Aptos Narrow"/>
    </font>
    <font>
      <u/>
      <sz val="12.0"/>
      <color theme="10"/>
      <name val="Aptos Narrow"/>
    </font>
    <font>
      <sz val="14.0"/>
      <color rgb="FF000000"/>
      <name val="Times"/>
    </font>
    <font>
      <b/>
      <sz val="14.0"/>
      <color rgb="FF000000"/>
      <name val="Times"/>
    </font>
    <font>
      <b/>
      <sz val="12.0"/>
      <color theme="1"/>
      <name val="Times New Roman"/>
    </font>
    <font>
      <b/>
      <sz val="10.0"/>
      <color theme="1"/>
      <name val="Times New Roman"/>
    </font>
    <font>
      <b/>
      <i/>
      <sz val="12.0"/>
      <color theme="1"/>
      <name val="Times New Roman"/>
    </font>
    <font>
      <b/>
      <i/>
      <sz val="10.0"/>
      <color theme="1"/>
      <name val="Times New Roman"/>
    </font>
    <font>
      <i/>
      <sz val="10.0"/>
      <color theme="1"/>
      <name val="Times New Roman"/>
    </font>
    <font>
      <sz val="10.0"/>
      <color theme="1"/>
      <name val="Arimo"/>
    </font>
    <font>
      <sz val="10.0"/>
      <color theme="1"/>
      <name val="Times New Roman"/>
    </font>
    <font>
      <b/>
      <sz val="12.0"/>
      <color theme="1"/>
      <name val="Helvetica Neue"/>
    </font>
    <font>
      <sz val="10.0"/>
      <color theme="1"/>
      <name val="Calibri"/>
    </font>
    <font>
      <sz val="12.0"/>
      <color theme="1"/>
      <name val="Helvetica Neue"/>
    </font>
    <font>
      <sz val="14.0"/>
      <color rgb="FF22222F"/>
      <name val="Arial"/>
    </font>
    <font>
      <b/>
      <sz val="13.0"/>
      <color rgb="FF000000"/>
      <name val="Times"/>
    </font>
    <font>
      <sz val="20.0"/>
      <color theme="1"/>
      <name val="Times New Roman"/>
    </font>
    <font>
      <sz val="11.0"/>
      <color theme="0"/>
      <name val="Aptos Narrow"/>
    </font>
    <font>
      <color rgb="FF212529"/>
      <name val="Arial"/>
    </font>
    <font>
      <b/>
      <sz val="11.0"/>
      <color rgb="FF22222F"/>
      <name val="Arial"/>
    </font>
    <font>
      <sz val="12.0"/>
      <color rgb="FF212529"/>
      <name val="&quot;Proxima Nova&quot;"/>
    </font>
    <font>
      <sz val="12.0"/>
      <color rgb="FF606F7B"/>
      <name val="&quot;Inter var&quot;"/>
    </font>
    <font>
      <color theme="1"/>
      <name val="&quot;Inter var&quot;"/>
    </font>
    <font>
      <color rgb="FF000000"/>
      <name val="Arial"/>
    </font>
    <font>
      <color rgb="FF22222F"/>
      <name val="&quot;Inter var&quot;"/>
    </font>
    <font>
      <u/>
      <color rgb="FF0000FF"/>
      <name val="Arial"/>
    </font>
    <font>
      <color rgb="FF22222F"/>
      <name val="Arial"/>
    </font>
    <font>
      <u/>
      <color rgb="FF0000FF"/>
      <name val="&quot;Inter var&quot;"/>
    </font>
    <font>
      <u/>
      <color rgb="FF0000FF"/>
      <name val="&quot;Inter var&quot;"/>
    </font>
    <font>
      <i/>
      <color theme="1"/>
      <name val="Aptos Narrow"/>
      <scheme val="minor"/>
    </font>
    <font>
      <b/>
      <color theme="1"/>
      <name val="Aptos Narrow"/>
      <scheme val="minor"/>
    </font>
    <font>
      <u/>
      <sz val="12.0"/>
      <color theme="10"/>
      <name val="Aptos Narrow"/>
    </font>
    <font>
      <u/>
      <color rgb="FF0000FF"/>
      <name val="Arial"/>
    </font>
  </fonts>
  <fills count="29">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B4C6E7"/>
        <bgColor rgb="FFB4C6E7"/>
      </patternFill>
    </fill>
    <fill>
      <patternFill patternType="solid">
        <fgColor rgb="FF92D050"/>
        <bgColor rgb="FF92D050"/>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theme="0"/>
        <bgColor theme="0"/>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22222F"/>
        <bgColor rgb="FF22222F"/>
      </patternFill>
    </fill>
    <fill>
      <patternFill patternType="solid">
        <fgColor rgb="FF00B050"/>
        <bgColor rgb="FF00B050"/>
      </patternFill>
    </fill>
    <fill>
      <patternFill patternType="solid">
        <fgColor rgb="FF00FF00"/>
        <bgColor rgb="FF00FF00"/>
      </patternFill>
    </fill>
    <fill>
      <patternFill patternType="solid">
        <fgColor rgb="FF0070C0"/>
        <bgColor rgb="FF0070C0"/>
      </patternFill>
    </fill>
    <fill>
      <patternFill patternType="solid">
        <fgColor rgb="FFFF9900"/>
        <bgColor rgb="FFFF9900"/>
      </patternFill>
    </fill>
    <fill>
      <patternFill patternType="solid">
        <fgColor rgb="FFF6B26B"/>
        <bgColor rgb="FFF6B26B"/>
      </patternFill>
    </fill>
    <fill>
      <patternFill patternType="solid">
        <fgColor rgb="FF4A86E8"/>
        <bgColor rgb="FF4A86E8"/>
      </patternFill>
    </fill>
    <fill>
      <patternFill patternType="solid">
        <fgColor rgb="FFEEECE1"/>
        <bgColor rgb="FFEEECE1"/>
      </patternFill>
    </fill>
    <fill>
      <patternFill patternType="solid">
        <fgColor rgb="FFEFEFEF"/>
        <bgColor rgb="FFEFEFEF"/>
      </patternFill>
    </fill>
    <fill>
      <patternFill patternType="solid">
        <fgColor rgb="FFCCCCCC"/>
        <bgColor rgb="FFCCCCCC"/>
      </patternFill>
    </fill>
    <fill>
      <patternFill patternType="solid">
        <fgColor theme="7"/>
        <bgColor theme="7"/>
      </patternFill>
    </fill>
    <fill>
      <patternFill patternType="solid">
        <fgColor theme="5"/>
        <bgColor theme="5"/>
      </patternFill>
    </fill>
    <fill>
      <patternFill patternType="solid">
        <fgColor rgb="FFFF0000"/>
        <bgColor rgb="FFFF0000"/>
      </patternFill>
    </fill>
    <fill>
      <patternFill patternType="solid">
        <fgColor rgb="FFF8F8FC"/>
        <bgColor rgb="FFF8F8FC"/>
      </patternFill>
    </fill>
  </fills>
  <borders count="7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right style="thin">
        <color rgb="FF000000"/>
      </right>
      <top/>
      <bottom style="thin">
        <color rgb="FF000000"/>
      </bottom>
    </border>
    <border>
      <left/>
      <right/>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left/>
      <top/>
      <bottom/>
    </border>
    <border>
      <top/>
      <bottom/>
    </border>
    <border>
      <right/>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border>
    <border>
      <right/>
      <top/>
    </border>
    <border>
      <right/>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border>
    <border>
      <right/>
      <bottom/>
    </border>
    <border>
      <left style="medium">
        <color rgb="FF000000"/>
      </left>
      <right style="thin">
        <color rgb="FF000000"/>
      </right>
      <top style="thin">
        <color rgb="FF000000"/>
      </top>
      <bottom style="medium">
        <color rgb="FF000000"/>
      </bottom>
    </border>
    <border>
      <top style="medium">
        <color rgb="FF000000"/>
      </top>
      <bottom style="thin">
        <color rgb="FF000000"/>
      </bottom>
    </border>
    <border>
      <left style="medium">
        <color rgb="FF000000"/>
      </left>
      <right/>
      <top/>
      <bottom style="medium">
        <color rgb="FF000000"/>
      </bottom>
    </border>
    <border>
      <left/>
      <right/>
      <top/>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thin">
        <color rgb="FF000000"/>
      </bottom>
    </border>
    <border>
      <right/>
      <top style="medium">
        <color rgb="FF000000"/>
      </top>
      <bottom style="medium">
        <color rgb="FF000000"/>
      </bottom>
    </border>
    <border>
      <left/>
      <right/>
      <top style="medium">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right/>
      <top style="thin">
        <color rgb="FF000000"/>
      </top>
      <bottom/>
    </border>
    <border>
      <left/>
      <right/>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top style="thin">
        <color rgb="FF000000"/>
      </top>
      <bottom/>
    </border>
    <border>
      <bottom style="thin">
        <color rgb="FFDBE4F0"/>
      </bottom>
    </border>
  </borders>
  <cellStyleXfs count="1">
    <xf borderId="0" fillId="0" fontId="0" numFmtId="0" applyAlignment="1" applyFont="1"/>
  </cellStyleXfs>
  <cellXfs count="54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3" numFmtId="0" xfId="0" applyAlignment="1" applyBorder="1" applyFill="1" applyFont="1">
      <alignment horizontal="center" readingOrder="0" vertical="center"/>
    </xf>
    <xf borderId="4" fillId="4" fontId="4" numFmtId="0" xfId="0" applyAlignment="1" applyBorder="1" applyFill="1" applyFont="1">
      <alignment horizontal="center"/>
    </xf>
    <xf borderId="5" fillId="0" fontId="4" numFmtId="0" xfId="0" applyBorder="1" applyFont="1"/>
    <xf borderId="6" fillId="0" fontId="2" numFmtId="0" xfId="0" applyBorder="1" applyFont="1"/>
    <xf borderId="7" fillId="0" fontId="2" numFmtId="0" xfId="0" applyBorder="1" applyFont="1"/>
    <xf borderId="4" fillId="4" fontId="5" numFmtId="0" xfId="0" applyAlignment="1" applyBorder="1" applyFont="1">
      <alignment horizontal="center"/>
    </xf>
    <xf borderId="4" fillId="4" fontId="6" numFmtId="0" xfId="0" applyAlignment="1" applyBorder="1" applyFont="1">
      <alignment horizontal="center"/>
    </xf>
    <xf borderId="8" fillId="0" fontId="2" numFmtId="0" xfId="0" applyBorder="1" applyFont="1"/>
    <xf borderId="9" fillId="0" fontId="2" numFmtId="0" xfId="0" applyBorder="1" applyFont="1"/>
    <xf borderId="4" fillId="4" fontId="7" numFmtId="0" xfId="0" applyAlignment="1" applyBorder="1" applyFont="1">
      <alignment horizontal="center" readingOrder="0"/>
    </xf>
    <xf borderId="10" fillId="0" fontId="2" numFmtId="0" xfId="0" applyBorder="1" applyFont="1"/>
    <xf borderId="11" fillId="0" fontId="2" numFmtId="0" xfId="0" applyBorder="1" applyFont="1"/>
    <xf borderId="12" fillId="0" fontId="2" numFmtId="0" xfId="0" applyBorder="1" applyFont="1"/>
    <xf borderId="13" fillId="5" fontId="8" numFmtId="0" xfId="0" applyAlignment="1" applyBorder="1" applyFill="1" applyFont="1">
      <alignment readingOrder="0"/>
    </xf>
    <xf borderId="13" fillId="5" fontId="9" numFmtId="0" xfId="0" applyBorder="1" applyFont="1"/>
    <xf borderId="0" fillId="5" fontId="4" numFmtId="0" xfId="0" applyFont="1"/>
    <xf borderId="4" fillId="2" fontId="10" numFmtId="0" xfId="0" applyAlignment="1" applyBorder="1" applyFont="1">
      <alignment horizontal="center"/>
    </xf>
    <xf borderId="4" fillId="2" fontId="11" numFmtId="17" xfId="0" applyAlignment="1" applyBorder="1" applyFont="1" applyNumberFormat="1">
      <alignment horizontal="center"/>
    </xf>
    <xf borderId="4" fillId="3" fontId="11" numFmtId="0" xfId="0" applyAlignment="1" applyBorder="1" applyFont="1">
      <alignment horizontal="left"/>
    </xf>
    <xf borderId="4" fillId="5" fontId="11" numFmtId="0" xfId="0" applyAlignment="1" applyBorder="1" applyFont="1">
      <alignment horizontal="center"/>
    </xf>
    <xf borderId="4" fillId="5" fontId="11" numFmtId="3" xfId="0" applyAlignment="1" applyBorder="1" applyFont="1" applyNumberFormat="1">
      <alignment horizontal="center"/>
    </xf>
    <xf borderId="4" fillId="5" fontId="10" numFmtId="3" xfId="0" applyAlignment="1" applyBorder="1" applyFont="1" applyNumberFormat="1">
      <alignment horizontal="center"/>
    </xf>
    <xf borderId="4" fillId="5" fontId="10" numFmtId="0" xfId="0" applyAlignment="1" applyBorder="1" applyFont="1">
      <alignment horizontal="center"/>
    </xf>
    <xf borderId="4" fillId="3" fontId="10" numFmtId="3" xfId="0" applyAlignment="1" applyBorder="1" applyFont="1" applyNumberFormat="1">
      <alignment horizontal="left"/>
    </xf>
    <xf borderId="4" fillId="3" fontId="12" numFmtId="0" xfId="0" applyAlignment="1" applyBorder="1" applyFont="1">
      <alignment horizontal="left"/>
    </xf>
    <xf borderId="4" fillId="0" fontId="10" numFmtId="0" xfId="0" applyAlignment="1" applyBorder="1" applyFont="1">
      <alignment horizontal="center"/>
    </xf>
    <xf borderId="0" fillId="0" fontId="11" numFmtId="3" xfId="0" applyFont="1" applyNumberFormat="1"/>
    <xf borderId="14" fillId="2" fontId="10" numFmtId="0" xfId="0" applyBorder="1" applyFont="1"/>
    <xf borderId="14" fillId="2" fontId="11" numFmtId="17" xfId="0" applyAlignment="1" applyBorder="1" applyFont="1" applyNumberFormat="1">
      <alignment horizontal="center"/>
    </xf>
    <xf borderId="14" fillId="3" fontId="11" numFmtId="0" xfId="0" applyBorder="1" applyFont="1"/>
    <xf borderId="14" fillId="5" fontId="11" numFmtId="3" xfId="0" applyAlignment="1" applyBorder="1" applyFont="1" applyNumberFormat="1">
      <alignment horizontal="center"/>
    </xf>
    <xf borderId="14" fillId="5" fontId="11" numFmtId="10" xfId="0" applyAlignment="1" applyBorder="1" applyFont="1" applyNumberFormat="1">
      <alignment horizontal="center"/>
    </xf>
    <xf borderId="14" fillId="5" fontId="11" numFmtId="9" xfId="0" applyAlignment="1" applyBorder="1" applyFont="1" applyNumberFormat="1">
      <alignment horizontal="center"/>
    </xf>
    <xf borderId="14" fillId="5" fontId="11" numFmtId="0" xfId="0" applyAlignment="1" applyBorder="1" applyFont="1">
      <alignment horizontal="center"/>
    </xf>
    <xf borderId="14" fillId="2" fontId="13" numFmtId="17" xfId="0" applyAlignment="1" applyBorder="1" applyFont="1" applyNumberFormat="1">
      <alignment horizontal="center"/>
    </xf>
    <xf borderId="15" fillId="2" fontId="13" numFmtId="17" xfId="0" applyAlignment="1" applyBorder="1" applyFont="1" applyNumberFormat="1">
      <alignment horizontal="center"/>
    </xf>
    <xf borderId="4" fillId="2" fontId="13" numFmtId="17" xfId="0" applyAlignment="1" applyBorder="1" applyFont="1" applyNumberFormat="1">
      <alignment horizontal="center"/>
    </xf>
    <xf borderId="0" fillId="5" fontId="9" numFmtId="0" xfId="0" applyFont="1"/>
    <xf borderId="14" fillId="3" fontId="13" numFmtId="0" xfId="0" applyBorder="1" applyFont="1"/>
    <xf borderId="16" fillId="5" fontId="11" numFmtId="3" xfId="0" applyAlignment="1" applyBorder="1" applyFont="1" applyNumberFormat="1">
      <alignment horizontal="center"/>
    </xf>
    <xf borderId="0" fillId="0" fontId="11" numFmtId="10" xfId="0" applyFont="1" applyNumberFormat="1"/>
    <xf borderId="0" fillId="5" fontId="11" numFmtId="10" xfId="0" applyFont="1" applyNumberFormat="1"/>
    <xf borderId="14" fillId="3" fontId="14" numFmtId="0" xfId="0" applyBorder="1" applyFont="1"/>
    <xf borderId="0" fillId="0" fontId="11" numFmtId="0" xfId="0" applyFont="1"/>
    <xf borderId="0" fillId="5" fontId="11" numFmtId="0" xfId="0" applyFont="1"/>
    <xf borderId="17" fillId="5" fontId="11" numFmtId="0" xfId="0" applyAlignment="1" applyBorder="1" applyFont="1">
      <alignment horizontal="center"/>
    </xf>
    <xf borderId="18" fillId="0" fontId="2" numFmtId="0" xfId="0" applyBorder="1" applyFont="1"/>
    <xf borderId="16" fillId="0" fontId="2" numFmtId="0" xfId="0" applyBorder="1" applyFont="1"/>
    <xf borderId="13" fillId="5" fontId="10" numFmtId="0" xfId="0" applyBorder="1" applyFont="1"/>
    <xf borderId="4" fillId="2" fontId="15" numFmtId="0" xfId="0" applyBorder="1" applyFont="1"/>
    <xf borderId="4" fillId="2" fontId="16" numFmtId="17" xfId="0" applyAlignment="1" applyBorder="1" applyFont="1" applyNumberFormat="1">
      <alignment horizontal="center"/>
    </xf>
    <xf borderId="4" fillId="2" fontId="15" numFmtId="0" xfId="0" applyAlignment="1" applyBorder="1" applyFont="1">
      <alignment horizontal="center"/>
    </xf>
    <xf borderId="4" fillId="2" fontId="17" numFmtId="0" xfId="0" applyAlignment="1" applyBorder="1" applyFont="1">
      <alignment horizontal="center" readingOrder="0"/>
    </xf>
    <xf borderId="4" fillId="2" fontId="18" numFmtId="0" xfId="0" applyAlignment="1" applyBorder="1" applyFont="1">
      <alignment horizontal="center" readingOrder="0"/>
    </xf>
    <xf borderId="1" fillId="4" fontId="12" numFmtId="0" xfId="0" applyBorder="1" applyFont="1"/>
    <xf borderId="13" fillId="5" fontId="19" numFmtId="0" xfId="0" applyBorder="1" applyFont="1"/>
    <xf borderId="1" fillId="6" fontId="15" numFmtId="0" xfId="0" applyAlignment="1" applyBorder="1" applyFill="1" applyFont="1">
      <alignment horizontal="left"/>
    </xf>
    <xf borderId="13" fillId="5" fontId="19" numFmtId="0" xfId="0" applyAlignment="1" applyBorder="1" applyFont="1">
      <alignment shrinkToFit="0" wrapText="1"/>
    </xf>
    <xf borderId="4" fillId="6" fontId="15" numFmtId="0" xfId="0" applyBorder="1" applyFont="1"/>
    <xf borderId="19" fillId="5" fontId="20" numFmtId="10" xfId="0" applyAlignment="1" applyBorder="1" applyFont="1" applyNumberFormat="1">
      <alignment horizontal="center" vertical="bottom"/>
    </xf>
    <xf borderId="4" fillId="7" fontId="15" numFmtId="0" xfId="0" applyAlignment="1" applyBorder="1" applyFill="1" applyFont="1">
      <alignment horizontal="center"/>
    </xf>
    <xf borderId="4" fillId="0" fontId="12" numFmtId="0" xfId="0" applyAlignment="1" applyBorder="1" applyFont="1">
      <alignment horizontal="center" vertical="bottom"/>
    </xf>
    <xf borderId="4" fillId="0" fontId="17" numFmtId="10" xfId="0" applyAlignment="1" applyBorder="1" applyFont="1" applyNumberFormat="1">
      <alignment horizontal="center"/>
    </xf>
    <xf borderId="0" fillId="0" fontId="4" numFmtId="0" xfId="0" applyAlignment="1" applyFont="1">
      <alignment readingOrder="0"/>
    </xf>
    <xf borderId="2" fillId="5" fontId="15" numFmtId="0" xfId="0" applyAlignment="1" applyBorder="1" applyFont="1">
      <alignment readingOrder="0"/>
    </xf>
    <xf borderId="4" fillId="5" fontId="15" numFmtId="0" xfId="0" applyBorder="1" applyFont="1"/>
    <xf borderId="4" fillId="8" fontId="10" numFmtId="0" xfId="0" applyAlignment="1" applyBorder="1" applyFill="1" applyFont="1">
      <alignment horizontal="center" readingOrder="0" vertical="bottom"/>
    </xf>
    <xf borderId="4" fillId="8" fontId="15" numFmtId="0" xfId="0" applyAlignment="1" applyBorder="1" applyFont="1">
      <alignment horizontal="center" readingOrder="0"/>
    </xf>
    <xf borderId="4" fillId="0" fontId="10" numFmtId="0" xfId="0" applyAlignment="1" applyBorder="1" applyFont="1">
      <alignment vertical="bottom"/>
    </xf>
    <xf borderId="4" fillId="5" fontId="17" numFmtId="0" xfId="0" applyAlignment="1" applyBorder="1" applyFont="1">
      <alignment horizontal="center"/>
    </xf>
    <xf borderId="0" fillId="5" fontId="18" numFmtId="0" xfId="0" applyAlignment="1" applyFont="1">
      <alignment readingOrder="0"/>
    </xf>
    <xf borderId="19" fillId="5" fontId="21" numFmtId="10" xfId="0" applyAlignment="1" applyBorder="1" applyFont="1" applyNumberFormat="1">
      <alignment horizontal="center" vertical="bottom"/>
    </xf>
    <xf borderId="4" fillId="7" fontId="15" numFmtId="9" xfId="0" applyAlignment="1" applyBorder="1" applyFont="1" applyNumberFormat="1">
      <alignment horizontal="center"/>
    </xf>
    <xf borderId="0" fillId="5" fontId="12" numFmtId="0" xfId="0" applyAlignment="1" applyFont="1">
      <alignment readingOrder="0"/>
    </xf>
    <xf borderId="4" fillId="7" fontId="15" numFmtId="10" xfId="0" applyAlignment="1" applyBorder="1" applyFont="1" applyNumberFormat="1">
      <alignment horizontal="center"/>
    </xf>
    <xf borderId="0" fillId="0" fontId="22" numFmtId="0" xfId="0" applyFont="1"/>
    <xf borderId="4" fillId="9" fontId="10" numFmtId="0" xfId="0" applyAlignment="1" applyBorder="1" applyFill="1" applyFont="1">
      <alignment horizontal="center" readingOrder="0" vertical="bottom"/>
    </xf>
    <xf borderId="4" fillId="9" fontId="15" numFmtId="0" xfId="0" applyAlignment="1" applyBorder="1" applyFont="1">
      <alignment horizontal="center" readingOrder="0"/>
    </xf>
    <xf borderId="4" fillId="0" fontId="23" numFmtId="10" xfId="0" applyAlignment="1" applyBorder="1" applyFont="1" applyNumberFormat="1">
      <alignment horizontal="center" vertical="top"/>
    </xf>
    <xf borderId="4" fillId="7" fontId="16" numFmtId="10" xfId="0" applyAlignment="1" applyBorder="1" applyFont="1" applyNumberFormat="1">
      <alignment horizontal="center"/>
    </xf>
    <xf borderId="0" fillId="10" fontId="10" numFmtId="0" xfId="0" applyAlignment="1" applyFill="1" applyFont="1">
      <alignment horizontal="center" readingOrder="0" vertical="bottom"/>
    </xf>
    <xf borderId="4" fillId="10" fontId="15" numFmtId="0" xfId="0" applyAlignment="1" applyBorder="1" applyFont="1">
      <alignment horizontal="center" readingOrder="0"/>
    </xf>
    <xf borderId="4" fillId="5" fontId="21" numFmtId="10" xfId="0" applyAlignment="1" applyBorder="1" applyFont="1" applyNumberFormat="1">
      <alignment horizontal="center" vertical="bottom"/>
    </xf>
    <xf borderId="4" fillId="5" fontId="12" numFmtId="0" xfId="0" applyAlignment="1" applyBorder="1" applyFont="1">
      <alignment horizontal="center" vertical="bottom"/>
    </xf>
    <xf borderId="4" fillId="5" fontId="10" numFmtId="0" xfId="0" applyAlignment="1" applyBorder="1" applyFont="1">
      <alignment horizontal="center" readingOrder="0" vertical="bottom"/>
    </xf>
    <xf borderId="4" fillId="5" fontId="15" numFmtId="0" xfId="0" applyAlignment="1" applyBorder="1" applyFont="1">
      <alignment horizontal="center" readingOrder="0"/>
    </xf>
    <xf borderId="4" fillId="5" fontId="21" numFmtId="9" xfId="0" applyAlignment="1" applyBorder="1" applyFont="1" applyNumberFormat="1">
      <alignment horizontal="center" vertical="bottom"/>
    </xf>
    <xf borderId="4" fillId="11" fontId="15" numFmtId="9" xfId="0" applyAlignment="1" applyBorder="1" applyFill="1" applyFont="1" applyNumberFormat="1">
      <alignment horizontal="center"/>
    </xf>
    <xf borderId="4" fillId="0" fontId="17" numFmtId="9" xfId="0" applyAlignment="1" applyBorder="1" applyFont="1" applyNumberFormat="1">
      <alignment horizontal="center"/>
    </xf>
    <xf borderId="4" fillId="11" fontId="15" numFmtId="0" xfId="0" applyAlignment="1" applyBorder="1" applyFont="1">
      <alignment horizontal="center"/>
    </xf>
    <xf borderId="4" fillId="0" fontId="17" numFmtId="0" xfId="0" applyAlignment="1" applyBorder="1" applyFont="1">
      <alignment horizontal="center"/>
    </xf>
    <xf borderId="4" fillId="0" fontId="24" numFmtId="0" xfId="0" applyAlignment="1" applyBorder="1" applyFont="1">
      <alignment horizontal="center"/>
    </xf>
    <xf borderId="1" fillId="0" fontId="15" numFmtId="0" xfId="0" applyBorder="1" applyFont="1"/>
    <xf borderId="1" fillId="12" fontId="15" numFmtId="0" xfId="0" applyAlignment="1" applyBorder="1" applyFill="1" applyFont="1">
      <alignment horizontal="left"/>
    </xf>
    <xf borderId="4" fillId="12" fontId="15" numFmtId="0" xfId="0" applyBorder="1" applyFont="1"/>
    <xf borderId="4" fillId="0" fontId="21" numFmtId="0" xfId="0" applyAlignment="1" applyBorder="1" applyFont="1">
      <alignment horizontal="right" vertical="bottom"/>
    </xf>
    <xf borderId="4" fillId="0" fontId="17" numFmtId="0" xfId="0" applyAlignment="1" applyBorder="1" applyFont="1">
      <alignment horizontal="center" readingOrder="0"/>
    </xf>
    <xf borderId="4" fillId="0" fontId="18" numFmtId="0" xfId="0" applyAlignment="1" applyBorder="1" applyFont="1">
      <alignment horizontal="left" readingOrder="0"/>
    </xf>
    <xf borderId="0" fillId="0" fontId="12" numFmtId="0" xfId="0" applyAlignment="1" applyFont="1">
      <alignment readingOrder="0" vertical="bottom"/>
    </xf>
    <xf borderId="4" fillId="11" fontId="15" numFmtId="0" xfId="0" applyAlignment="1" applyBorder="1" applyFont="1">
      <alignment horizontal="center" readingOrder="0"/>
    </xf>
    <xf borderId="4" fillId="5" fontId="15" numFmtId="0" xfId="0" applyAlignment="1" applyBorder="1" applyFont="1">
      <alignment horizontal="center"/>
    </xf>
    <xf borderId="4" fillId="0" fontId="4" numFmtId="0" xfId="0" applyAlignment="1" applyBorder="1" applyFont="1">
      <alignment horizontal="center"/>
    </xf>
    <xf borderId="4" fillId="11" fontId="25" numFmtId="0" xfId="0" applyAlignment="1" applyBorder="1" applyFont="1">
      <alignment horizontal="center" readingOrder="0"/>
    </xf>
    <xf borderId="1" fillId="13" fontId="15" numFmtId="0" xfId="0" applyAlignment="1" applyBorder="1" applyFill="1" applyFont="1">
      <alignment horizontal="left"/>
    </xf>
    <xf borderId="4" fillId="13" fontId="15" numFmtId="0" xfId="0" applyBorder="1" applyFont="1"/>
    <xf borderId="4" fillId="0" fontId="18" numFmtId="0" xfId="0" applyAlignment="1" applyBorder="1" applyFont="1">
      <alignment horizontal="center" readingOrder="0"/>
    </xf>
    <xf borderId="4" fillId="0" fontId="15" numFmtId="0" xfId="0" applyAlignment="1" applyBorder="1" applyFont="1">
      <alignment horizontal="center" readingOrder="0"/>
    </xf>
    <xf borderId="4" fillId="0" fontId="4" numFmtId="0" xfId="0" applyAlignment="1" applyBorder="1" applyFont="1">
      <alignment horizontal="left"/>
    </xf>
    <xf borderId="4" fillId="11" fontId="26" numFmtId="0" xfId="0" applyAlignment="1" applyBorder="1" applyFont="1">
      <alignment horizontal="center" readingOrder="0"/>
    </xf>
    <xf borderId="1" fillId="14" fontId="15" numFmtId="0" xfId="0" applyAlignment="1" applyBorder="1" applyFill="1" applyFont="1">
      <alignment horizontal="left"/>
    </xf>
    <xf borderId="4" fillId="14" fontId="15" numFmtId="0" xfId="0" applyBorder="1" applyFont="1"/>
    <xf borderId="20" fillId="11" fontId="10" numFmtId="0" xfId="0" applyBorder="1" applyFont="1"/>
    <xf borderId="13" fillId="11" fontId="10" numFmtId="0" xfId="0" applyBorder="1" applyFont="1"/>
    <xf borderId="0" fillId="0" fontId="4" numFmtId="10" xfId="0" applyFont="1" applyNumberFormat="1"/>
    <xf borderId="13" fillId="5" fontId="12" numFmtId="0" xfId="0" applyBorder="1" applyFont="1"/>
    <xf borderId="15" fillId="4" fontId="27" numFmtId="0" xfId="0" applyAlignment="1" applyBorder="1" applyFont="1">
      <alignment horizontal="center" readingOrder="0"/>
    </xf>
    <xf borderId="21" fillId="0" fontId="2" numFmtId="0" xfId="0" applyBorder="1" applyFont="1"/>
    <xf borderId="22" fillId="0" fontId="2" numFmtId="0" xfId="0" applyBorder="1" applyFont="1"/>
    <xf borderId="23" fillId="15" fontId="28" numFmtId="0" xfId="0" applyAlignment="1" applyBorder="1" applyFill="1" applyFont="1">
      <alignment horizontal="center"/>
    </xf>
    <xf borderId="24" fillId="0" fontId="2" numFmtId="0" xfId="0" applyBorder="1" applyFont="1"/>
    <xf borderId="25" fillId="0" fontId="2" numFmtId="0" xfId="0" applyBorder="1" applyFont="1"/>
    <xf borderId="26" fillId="0" fontId="29" numFmtId="0" xfId="0" applyAlignment="1" applyBorder="1" applyFont="1">
      <alignment horizontal="left"/>
    </xf>
    <xf borderId="0" fillId="0" fontId="30" numFmtId="164" xfId="0" applyAlignment="1" applyFont="1" applyNumberFormat="1">
      <alignment horizontal="right"/>
    </xf>
    <xf borderId="27" fillId="0" fontId="30" numFmtId="164" xfId="0" applyAlignment="1" applyBorder="1" applyFont="1" applyNumberFormat="1">
      <alignment horizontal="right"/>
    </xf>
    <xf borderId="26" fillId="0" fontId="31" numFmtId="0" xfId="0" applyAlignment="1" applyBorder="1" applyFont="1">
      <alignment horizontal="left"/>
    </xf>
    <xf borderId="27" fillId="0" fontId="11" numFmtId="3" xfId="0" applyBorder="1" applyFont="1" applyNumberFormat="1"/>
    <xf borderId="26" fillId="0" fontId="30" numFmtId="0" xfId="0" applyAlignment="1" applyBorder="1" applyFont="1">
      <alignment horizontal="left"/>
    </xf>
    <xf borderId="0" fillId="0" fontId="30" numFmtId="10" xfId="0" applyAlignment="1" applyFont="1" applyNumberFormat="1">
      <alignment horizontal="right"/>
    </xf>
    <xf borderId="27" fillId="0" fontId="30" numFmtId="10" xfId="0" applyAlignment="1" applyBorder="1" applyFont="1" applyNumberFormat="1">
      <alignment horizontal="right"/>
    </xf>
    <xf borderId="26" fillId="0" fontId="32" numFmtId="0" xfId="0" applyBorder="1" applyFont="1"/>
    <xf borderId="0" fillId="0" fontId="29" numFmtId="10" xfId="0" applyFont="1" applyNumberFormat="1"/>
    <xf borderId="0" fillId="0" fontId="29" numFmtId="0" xfId="0" applyFont="1"/>
    <xf borderId="27" fillId="0" fontId="10" numFmtId="0" xfId="0" applyBorder="1" applyFont="1"/>
    <xf borderId="0" fillId="0" fontId="31" numFmtId="4" xfId="0" applyAlignment="1" applyFont="1" applyNumberFormat="1">
      <alignment horizontal="right"/>
    </xf>
    <xf borderId="27" fillId="0" fontId="31" numFmtId="4" xfId="0" applyAlignment="1" applyBorder="1" applyFont="1" applyNumberFormat="1">
      <alignment horizontal="right"/>
    </xf>
    <xf borderId="0" fillId="0" fontId="30" numFmtId="0" xfId="0" applyAlignment="1" applyFont="1">
      <alignment horizontal="right"/>
    </xf>
    <xf borderId="27" fillId="0" fontId="30" numFmtId="0" xfId="0" applyAlignment="1" applyBorder="1" applyFont="1">
      <alignment horizontal="right"/>
    </xf>
    <xf borderId="26" fillId="16" fontId="30" numFmtId="0" xfId="0" applyAlignment="1" applyBorder="1" applyFill="1" applyFont="1">
      <alignment horizontal="left"/>
    </xf>
    <xf borderId="0" fillId="16" fontId="30" numFmtId="10" xfId="0" applyAlignment="1" applyFont="1" applyNumberFormat="1">
      <alignment horizontal="left"/>
    </xf>
    <xf borderId="0" fillId="3" fontId="30" numFmtId="10" xfId="0" applyAlignment="1" applyFont="1" applyNumberFormat="1">
      <alignment horizontal="left"/>
    </xf>
    <xf borderId="5" fillId="3" fontId="12" numFmtId="0" xfId="0" applyAlignment="1" applyBorder="1" applyFont="1">
      <alignment shrinkToFit="0" wrapText="1"/>
    </xf>
    <xf borderId="0" fillId="5" fontId="9" numFmtId="0" xfId="0" applyAlignment="1" applyFont="1">
      <alignment horizontal="center" shrinkToFit="0" wrapText="1"/>
    </xf>
    <xf borderId="28" fillId="0" fontId="28" numFmtId="0" xfId="0" applyAlignment="1" applyBorder="1" applyFont="1">
      <alignment readingOrder="0"/>
    </xf>
    <xf borderId="29" fillId="11" fontId="20" numFmtId="10" xfId="0" applyAlignment="1" applyBorder="1" applyFont="1" applyNumberFormat="1">
      <alignment horizontal="right"/>
    </xf>
    <xf borderId="23" fillId="15" fontId="33" numFmtId="0" xfId="0" applyAlignment="1" applyBorder="1" applyFont="1">
      <alignment horizontal="center"/>
    </xf>
    <xf borderId="0" fillId="0" fontId="31" numFmtId="3" xfId="0" applyAlignment="1" applyFont="1" applyNumberFormat="1">
      <alignment horizontal="right"/>
    </xf>
    <xf borderId="27" fillId="0" fontId="31" numFmtId="3" xfId="0" applyAlignment="1" applyBorder="1" applyFont="1" applyNumberFormat="1">
      <alignment horizontal="right"/>
    </xf>
    <xf borderId="28" fillId="0" fontId="33" numFmtId="0" xfId="0" applyBorder="1" applyFont="1"/>
    <xf borderId="1" fillId="17" fontId="34" numFmtId="0" xfId="0" applyAlignment="1" applyBorder="1" applyFill="1" applyFont="1">
      <alignment horizontal="center"/>
    </xf>
    <xf borderId="0" fillId="17" fontId="35" numFmtId="0" xfId="0" applyAlignment="1" applyFont="1">
      <alignment readingOrder="0"/>
    </xf>
    <xf borderId="4" fillId="3" fontId="36" numFmtId="0" xfId="0" applyAlignment="1" applyBorder="1" applyFont="1">
      <alignment horizontal="center"/>
    </xf>
    <xf borderId="4" fillId="3" fontId="37" numFmtId="10" xfId="0" applyAlignment="1" applyBorder="1" applyFont="1" applyNumberFormat="1">
      <alignment horizontal="center"/>
    </xf>
    <xf borderId="1" fillId="5" fontId="10" numFmtId="0" xfId="0" applyAlignment="1" applyBorder="1" applyFont="1">
      <alignment horizontal="left"/>
    </xf>
    <xf borderId="4" fillId="5" fontId="10" numFmtId="10" xfId="0" applyBorder="1" applyFont="1" applyNumberFormat="1"/>
    <xf borderId="4" fillId="5" fontId="10" numFmtId="0" xfId="0" applyBorder="1" applyFont="1"/>
    <xf borderId="1" fillId="2" fontId="5" numFmtId="0" xfId="0" applyAlignment="1" applyBorder="1" applyFont="1">
      <alignment horizontal="left"/>
    </xf>
    <xf borderId="4" fillId="2" fontId="5" numFmtId="10" xfId="0" applyBorder="1" applyFont="1" applyNumberFormat="1"/>
    <xf borderId="4" fillId="3" fontId="10" numFmtId="10" xfId="0" applyAlignment="1" applyBorder="1" applyFont="1" applyNumberFormat="1">
      <alignment horizontal="center"/>
    </xf>
    <xf borderId="20" fillId="5" fontId="8" numFmtId="0" xfId="0" applyAlignment="1" applyBorder="1" applyFont="1">
      <alignment readingOrder="0"/>
    </xf>
    <xf borderId="20" fillId="5" fontId="9" numFmtId="0" xfId="0" applyBorder="1" applyFont="1"/>
    <xf borderId="0" fillId="0" fontId="10" numFmtId="165" xfId="0" applyAlignment="1" applyFont="1" applyNumberFormat="1">
      <alignment horizontal="center"/>
    </xf>
    <xf borderId="0" fillId="0" fontId="10" numFmtId="0" xfId="0" applyAlignment="1" applyFont="1">
      <alignment horizontal="left"/>
    </xf>
    <xf borderId="0" fillId="0" fontId="10" numFmtId="0" xfId="0" applyAlignment="1" applyFont="1">
      <alignment horizontal="right"/>
    </xf>
    <xf borderId="30" fillId="3" fontId="38" numFmtId="0" xfId="0" applyAlignment="1" applyBorder="1" applyFont="1">
      <alignment horizontal="center"/>
    </xf>
    <xf borderId="31" fillId="0" fontId="2" numFmtId="0" xfId="0" applyBorder="1" applyFont="1"/>
    <xf borderId="32" fillId="0" fontId="2" numFmtId="0" xfId="0" applyBorder="1" applyFont="1"/>
    <xf borderId="0" fillId="0" fontId="39" numFmtId="0" xfId="0" applyAlignment="1" applyFont="1">
      <alignment horizontal="center"/>
    </xf>
    <xf borderId="0" fillId="0" fontId="36" numFmtId="165" xfId="0" applyAlignment="1" applyFont="1" applyNumberFormat="1">
      <alignment horizontal="center"/>
    </xf>
    <xf borderId="0" fillId="0" fontId="36" numFmtId="0" xfId="0" applyFont="1"/>
    <xf borderId="1" fillId="18" fontId="36" numFmtId="0" xfId="0" applyAlignment="1" applyBorder="1" applyFill="1" applyFont="1">
      <alignment horizontal="center"/>
    </xf>
    <xf borderId="1" fillId="16" fontId="5" numFmtId="0" xfId="0" applyAlignment="1" applyBorder="1" applyFont="1">
      <alignment horizontal="center"/>
    </xf>
    <xf borderId="33" fillId="0" fontId="5" numFmtId="0" xfId="0" applyAlignment="1" applyBorder="1" applyFont="1">
      <alignment horizontal="center"/>
    </xf>
    <xf borderId="34" fillId="0" fontId="2" numFmtId="0" xfId="0" applyBorder="1" applyFont="1"/>
    <xf borderId="0" fillId="0" fontId="36" numFmtId="166" xfId="0" applyAlignment="1" applyFont="1" applyNumberFormat="1">
      <alignment horizontal="center"/>
    </xf>
    <xf borderId="4" fillId="0" fontId="36" numFmtId="166" xfId="0" applyAlignment="1" applyBorder="1" applyFont="1" applyNumberFormat="1">
      <alignment horizontal="center"/>
    </xf>
    <xf borderId="4" fillId="0" fontId="36" numFmtId="0" xfId="0" applyAlignment="1" applyBorder="1" applyFont="1">
      <alignment horizontal="center"/>
    </xf>
    <xf borderId="35" fillId="0" fontId="10" numFmtId="0" xfId="0" applyBorder="1" applyFont="1"/>
    <xf borderId="36" fillId="0" fontId="10" numFmtId="0" xfId="0" applyBorder="1" applyFont="1"/>
    <xf borderId="1" fillId="16" fontId="40" numFmtId="0" xfId="0" applyAlignment="1" applyBorder="1" applyFont="1">
      <alignment horizontal="center"/>
    </xf>
    <xf borderId="0" fillId="0" fontId="41" numFmtId="0" xfId="0" applyFont="1"/>
    <xf borderId="4" fillId="16" fontId="40" numFmtId="0" xfId="0" applyAlignment="1" applyBorder="1" applyFont="1">
      <alignment horizontal="left"/>
    </xf>
    <xf borderId="4" fillId="16" fontId="41" numFmtId="0" xfId="0" applyAlignment="1" applyBorder="1" applyFont="1">
      <alignment horizontal="right"/>
    </xf>
    <xf borderId="1" fillId="16" fontId="42" numFmtId="0" xfId="0" applyAlignment="1" applyBorder="1" applyFont="1">
      <alignment horizontal="center"/>
    </xf>
    <xf borderId="1" fillId="16" fontId="41" numFmtId="0" xfId="0" applyAlignment="1" applyBorder="1" applyFont="1">
      <alignment horizontal="center"/>
    </xf>
    <xf borderId="4" fillId="0" fontId="43" numFmtId="4" xfId="0" applyAlignment="1" applyBorder="1" applyFont="1" applyNumberFormat="1">
      <alignment horizontal="center"/>
    </xf>
    <xf borderId="4" fillId="0" fontId="43" numFmtId="10" xfId="0" applyAlignment="1" applyBorder="1" applyFont="1" applyNumberFormat="1">
      <alignment horizontal="center"/>
    </xf>
    <xf borderId="4" fillId="0" fontId="43" numFmtId="0" xfId="0" applyAlignment="1" applyBorder="1" applyFont="1">
      <alignment horizontal="center"/>
    </xf>
    <xf borderId="35" fillId="0" fontId="36" numFmtId="0" xfId="0" applyBorder="1" applyFont="1"/>
    <xf borderId="36" fillId="0" fontId="10" numFmtId="2" xfId="0" applyBorder="1" applyFont="1" applyNumberFormat="1"/>
    <xf borderId="4" fillId="0" fontId="36" numFmtId="0" xfId="0" applyBorder="1" applyFont="1"/>
    <xf borderId="36" fillId="0" fontId="10" numFmtId="10" xfId="0" applyBorder="1" applyFont="1" applyNumberFormat="1"/>
    <xf borderId="4" fillId="0" fontId="44" numFmtId="0" xfId="0" applyAlignment="1" applyBorder="1" applyFont="1">
      <alignment horizontal="left" vertical="bottom"/>
    </xf>
    <xf borderId="4" fillId="0" fontId="43" numFmtId="10" xfId="0" applyBorder="1" applyFont="1" applyNumberFormat="1"/>
    <xf borderId="4" fillId="0" fontId="43" numFmtId="0" xfId="0" applyBorder="1" applyFont="1"/>
    <xf borderId="4" fillId="0" fontId="43" numFmtId="0" xfId="0" applyAlignment="1" applyBorder="1" applyFont="1">
      <alignment horizontal="left"/>
    </xf>
    <xf borderId="4" fillId="0" fontId="43" numFmtId="4" xfId="0" applyBorder="1" applyFont="1" applyNumberFormat="1"/>
    <xf borderId="37" fillId="0" fontId="10" numFmtId="0" xfId="0" applyBorder="1" applyFont="1"/>
    <xf borderId="38" fillId="0" fontId="10" numFmtId="0" xfId="0" applyBorder="1" applyFont="1"/>
    <xf borderId="39" fillId="3" fontId="5" numFmtId="0" xfId="0" applyAlignment="1" applyBorder="1" applyFont="1">
      <alignment shrinkToFit="0" wrapText="1"/>
    </xf>
    <xf borderId="40" fillId="3" fontId="5" numFmtId="2" xfId="0" applyBorder="1" applyFont="1" applyNumberFormat="1"/>
    <xf borderId="41" fillId="0" fontId="12" numFmtId="0" xfId="0" applyAlignment="1" applyBorder="1" applyFont="1">
      <alignment shrinkToFit="0" wrapText="1"/>
    </xf>
    <xf borderId="0" fillId="0" fontId="45" numFmtId="0" xfId="0" applyFont="1"/>
    <xf borderId="33" fillId="0" fontId="46" numFmtId="0" xfId="0" applyAlignment="1" applyBorder="1" applyFont="1">
      <alignment horizontal="center"/>
    </xf>
    <xf borderId="42" fillId="0" fontId="5" numFmtId="0" xfId="0" applyBorder="1" applyFont="1"/>
    <xf borderId="43" fillId="0" fontId="5" numFmtId="0" xfId="0" applyBorder="1" applyFont="1"/>
    <xf borderId="41" fillId="3" fontId="12" numFmtId="0" xfId="0" applyBorder="1" applyFont="1"/>
    <xf borderId="44" fillId="0" fontId="5" numFmtId="0" xfId="0" applyBorder="1" applyFont="1"/>
    <xf borderId="45" fillId="0" fontId="5" numFmtId="2" xfId="0" applyAlignment="1" applyBorder="1" applyFont="1" applyNumberFormat="1">
      <alignment horizontal="center"/>
    </xf>
    <xf borderId="46" fillId="5" fontId="47" numFmtId="0" xfId="0" applyAlignment="1" applyBorder="1" applyFont="1">
      <alignment horizontal="center" readingOrder="0"/>
    </xf>
    <xf borderId="47" fillId="5" fontId="47" numFmtId="0" xfId="0" applyAlignment="1" applyBorder="1" applyFont="1">
      <alignment horizontal="center" readingOrder="0"/>
    </xf>
    <xf borderId="35" fillId="0" fontId="5" numFmtId="0" xfId="0" applyBorder="1" applyFont="1"/>
    <xf borderId="36" fillId="0" fontId="5" numFmtId="0" xfId="0" applyBorder="1" applyFont="1"/>
    <xf borderId="3" fillId="0" fontId="34" numFmtId="0" xfId="0" applyBorder="1" applyFont="1"/>
    <xf borderId="36" fillId="0" fontId="5" numFmtId="2" xfId="0" applyAlignment="1" applyBorder="1" applyFont="1" applyNumberFormat="1">
      <alignment horizontal="center"/>
    </xf>
    <xf borderId="26" fillId="5" fontId="47" numFmtId="0" xfId="0" applyAlignment="1" applyBorder="1" applyFont="1">
      <alignment horizontal="center" readingOrder="0"/>
    </xf>
    <xf borderId="48" fillId="5" fontId="47" numFmtId="0" xfId="0" applyAlignment="1" applyBorder="1" applyFont="1">
      <alignment horizontal="center" readingOrder="0"/>
    </xf>
    <xf borderId="49" fillId="0" fontId="34" numFmtId="0" xfId="0" applyBorder="1" applyFont="1"/>
    <xf borderId="50" fillId="0" fontId="5" numFmtId="2" xfId="0" applyAlignment="1" applyBorder="1" applyFont="1" applyNumberFormat="1">
      <alignment horizontal="center"/>
    </xf>
    <xf borderId="51" fillId="5" fontId="47" numFmtId="0" xfId="0" applyAlignment="1" applyBorder="1" applyFont="1">
      <alignment horizontal="center" readingOrder="0"/>
    </xf>
    <xf borderId="52" fillId="5" fontId="47" numFmtId="0" xfId="0" applyAlignment="1" applyBorder="1" applyFont="1">
      <alignment horizontal="center" readingOrder="0"/>
    </xf>
    <xf borderId="53" fillId="0" fontId="5" numFmtId="0" xfId="0" applyBorder="1" applyFont="1"/>
    <xf borderId="50" fillId="0" fontId="5" numFmtId="0" xfId="0" applyBorder="1" applyFont="1"/>
    <xf borderId="23" fillId="0" fontId="10" numFmtId="0" xfId="0" applyBorder="1" applyFont="1"/>
    <xf borderId="24" fillId="0" fontId="10" numFmtId="0" xfId="0" applyBorder="1" applyFont="1"/>
    <xf borderId="25" fillId="0" fontId="10" numFmtId="0" xfId="0" applyBorder="1" applyFont="1"/>
    <xf borderId="26" fillId="0" fontId="10" numFmtId="0" xfId="0" applyBorder="1" applyFont="1"/>
    <xf borderId="0" fillId="0" fontId="10" numFmtId="0" xfId="0" applyFont="1"/>
    <xf borderId="33" fillId="0" fontId="48" numFmtId="0" xfId="0" applyAlignment="1" applyBorder="1" applyFont="1">
      <alignment horizontal="center"/>
    </xf>
    <xf borderId="54" fillId="0" fontId="2" numFmtId="0" xfId="0" applyBorder="1" applyFont="1"/>
    <xf borderId="13" fillId="3" fontId="10" numFmtId="0" xfId="0" applyBorder="1" applyFont="1"/>
    <xf borderId="28" fillId="0" fontId="10" numFmtId="0" xfId="0" applyBorder="1" applyFont="1"/>
    <xf borderId="29" fillId="0" fontId="10" numFmtId="0" xfId="0" applyBorder="1" applyFont="1"/>
    <xf borderId="54" fillId="0" fontId="48" numFmtId="0" xfId="0" applyAlignment="1" applyBorder="1" applyFont="1">
      <alignment horizontal="center"/>
    </xf>
    <xf borderId="55" fillId="3" fontId="5" numFmtId="0" xfId="0" applyBorder="1" applyFont="1"/>
    <xf borderId="56" fillId="3" fontId="5" numFmtId="0" xfId="0" applyBorder="1" applyFont="1"/>
    <xf borderId="57" fillId="0" fontId="10" numFmtId="0" xfId="0" applyBorder="1" applyFont="1"/>
    <xf borderId="0" fillId="0" fontId="43" numFmtId="0" xfId="0" applyFont="1"/>
    <xf borderId="5" fillId="4" fontId="12" numFmtId="0" xfId="0" applyAlignment="1" applyBorder="1" applyFont="1">
      <alignment shrinkToFit="0" wrapText="1"/>
    </xf>
    <xf borderId="15" fillId="2" fontId="34" numFmtId="0" xfId="0" applyAlignment="1" applyBorder="1" applyFont="1">
      <alignment horizontal="center"/>
    </xf>
    <xf borderId="58" fillId="19" fontId="5" numFmtId="0" xfId="0" applyBorder="1" applyFill="1" applyFont="1"/>
    <xf borderId="59" fillId="19" fontId="5" numFmtId="0" xfId="0" applyBorder="1" applyFont="1"/>
    <xf borderId="59" fillId="19" fontId="5" numFmtId="0" xfId="0" applyAlignment="1" applyBorder="1" applyFont="1">
      <alignment shrinkToFit="0" wrapText="1"/>
    </xf>
    <xf borderId="45" fillId="19" fontId="5" numFmtId="0" xfId="0" applyAlignment="1" applyBorder="1" applyFont="1">
      <alignment horizontal="center" shrinkToFit="0" wrapText="1"/>
    </xf>
    <xf borderId="6" fillId="0" fontId="4" numFmtId="0" xfId="0" applyBorder="1" applyFont="1"/>
    <xf borderId="4" fillId="5" fontId="9" numFmtId="0" xfId="0" applyAlignment="1" applyBorder="1" applyFont="1">
      <alignment shrinkToFit="0" wrapText="1"/>
    </xf>
    <xf borderId="4" fillId="0" fontId="10" numFmtId="0" xfId="0" applyBorder="1" applyFont="1"/>
    <xf borderId="35" fillId="3" fontId="49" numFmtId="0" xfId="0" applyBorder="1" applyFont="1"/>
    <xf borderId="4" fillId="3" fontId="11" numFmtId="1" xfId="0" applyBorder="1" applyFont="1" applyNumberFormat="1"/>
    <xf borderId="4" fillId="3" fontId="10" numFmtId="9" xfId="0" applyBorder="1" applyFont="1" applyNumberFormat="1"/>
    <xf borderId="4" fillId="3" fontId="5" numFmtId="2" xfId="0" applyBorder="1" applyFont="1" applyNumberFormat="1"/>
    <xf borderId="36" fillId="3" fontId="5" numFmtId="167" xfId="0" applyBorder="1" applyFont="1" applyNumberFormat="1"/>
    <xf borderId="35" fillId="8" fontId="10" numFmtId="0" xfId="0" applyBorder="1" applyFont="1"/>
    <xf borderId="4" fillId="8" fontId="10" numFmtId="9" xfId="0" applyBorder="1" applyFont="1" applyNumberFormat="1"/>
    <xf borderId="4" fillId="8" fontId="5" numFmtId="167" xfId="0" applyBorder="1" applyFont="1" applyNumberFormat="1"/>
    <xf borderId="35" fillId="20" fontId="10" numFmtId="0" xfId="0" applyBorder="1" applyFill="1" applyFont="1"/>
    <xf borderId="4" fillId="20" fontId="10" numFmtId="9" xfId="0" applyBorder="1" applyFont="1" applyNumberFormat="1"/>
    <xf borderId="4" fillId="20" fontId="5" numFmtId="167" xfId="0" applyBorder="1" applyFont="1" applyNumberFormat="1"/>
    <xf borderId="0" fillId="0" fontId="50" numFmtId="0" xfId="0" applyFont="1"/>
    <xf borderId="53" fillId="20" fontId="10" numFmtId="0" xfId="0" applyBorder="1" applyFont="1"/>
    <xf borderId="60" fillId="3" fontId="11" numFmtId="1" xfId="0" applyBorder="1" applyFont="1" applyNumberFormat="1"/>
    <xf borderId="60" fillId="20" fontId="10" numFmtId="9" xfId="0" applyBorder="1" applyFont="1" applyNumberFormat="1"/>
    <xf borderId="60" fillId="20" fontId="5" numFmtId="167" xfId="0" applyBorder="1" applyFont="1" applyNumberFormat="1"/>
    <xf borderId="50" fillId="3" fontId="5" numFmtId="167" xfId="0" applyBorder="1" applyFont="1" applyNumberFormat="1"/>
    <xf borderId="58" fillId="8" fontId="10" numFmtId="0" xfId="0" applyBorder="1" applyFont="1"/>
    <xf borderId="59" fillId="8" fontId="5" numFmtId="9" xfId="0" applyBorder="1" applyFont="1" applyNumberFormat="1"/>
    <xf borderId="59" fillId="8" fontId="5" numFmtId="2" xfId="0" applyBorder="1" applyFont="1" applyNumberFormat="1"/>
    <xf borderId="45" fillId="8" fontId="5" numFmtId="2" xfId="0" applyBorder="1" applyFont="1" applyNumberFormat="1"/>
    <xf borderId="4" fillId="20" fontId="5" numFmtId="9" xfId="0" applyBorder="1" applyFont="1" applyNumberFormat="1"/>
    <xf borderId="4" fillId="20" fontId="5" numFmtId="2" xfId="0" applyBorder="1" applyFont="1" applyNumberFormat="1"/>
    <xf borderId="36" fillId="20" fontId="5" numFmtId="2" xfId="0" applyBorder="1" applyFont="1" applyNumberFormat="1"/>
    <xf borderId="61" fillId="8" fontId="12" numFmtId="0" xfId="0" applyBorder="1" applyFont="1"/>
    <xf borderId="62" fillId="0" fontId="2" numFmtId="0" xfId="0" applyBorder="1" applyFont="1"/>
    <xf borderId="63" fillId="0" fontId="2" numFmtId="0" xfId="0" applyBorder="1" applyFont="1"/>
    <xf borderId="23" fillId="19" fontId="10" numFmtId="0" xfId="0" applyAlignment="1" applyBorder="1" applyFont="1">
      <alignment horizontal="right"/>
    </xf>
    <xf borderId="1" fillId="19" fontId="12" numFmtId="0" xfId="0" applyBorder="1" applyFont="1"/>
    <xf borderId="4" fillId="19" fontId="10" numFmtId="2" xfId="0" applyBorder="1" applyFont="1" applyNumberFormat="1"/>
    <xf borderId="64" fillId="8" fontId="10" numFmtId="0" xfId="0" applyBorder="1" applyFont="1"/>
    <xf borderId="4" fillId="8" fontId="10" numFmtId="1" xfId="0" applyBorder="1" applyFont="1" applyNumberFormat="1"/>
    <xf borderId="36" fillId="8" fontId="10" numFmtId="9" xfId="0" applyBorder="1" applyFont="1" applyNumberFormat="1"/>
    <xf borderId="1" fillId="8" fontId="12" numFmtId="0" xfId="0" applyBorder="1" applyFont="1"/>
    <xf borderId="4" fillId="8" fontId="10" numFmtId="168" xfId="0" applyBorder="1" applyFont="1" applyNumberFormat="1"/>
    <xf borderId="64" fillId="19" fontId="12" numFmtId="0" xfId="0" applyAlignment="1" applyBorder="1" applyFont="1">
      <alignment readingOrder="0"/>
    </xf>
    <xf borderId="4" fillId="19" fontId="10" numFmtId="1" xfId="0" applyBorder="1" applyFont="1" applyNumberFormat="1"/>
    <xf borderId="36" fillId="19" fontId="10" numFmtId="9" xfId="0" applyBorder="1" applyFont="1" applyNumberFormat="1"/>
    <xf borderId="1" fillId="19" fontId="10" numFmtId="0" xfId="0" applyBorder="1" applyFont="1"/>
    <xf borderId="4" fillId="19" fontId="10" numFmtId="9" xfId="0" applyBorder="1" applyFont="1" applyNumberFormat="1"/>
    <xf borderId="61" fillId="8" fontId="12" numFmtId="0" xfId="0" applyAlignment="1" applyBorder="1" applyFont="1">
      <alignment readingOrder="0"/>
    </xf>
    <xf borderId="49" fillId="0" fontId="2" numFmtId="0" xfId="0" applyBorder="1" applyFont="1"/>
    <xf borderId="60" fillId="8" fontId="10" numFmtId="1" xfId="0" applyBorder="1" applyFont="1" applyNumberFormat="1"/>
    <xf borderId="50" fillId="8" fontId="10" numFmtId="9" xfId="0" applyBorder="1" applyFont="1" applyNumberFormat="1"/>
    <xf borderId="1" fillId="3" fontId="5" numFmtId="0" xfId="0" applyBorder="1" applyFont="1"/>
    <xf borderId="4" fillId="3" fontId="5" numFmtId="167" xfId="0" applyBorder="1" applyFont="1" applyNumberFormat="1"/>
    <xf borderId="15" fillId="2" fontId="10" numFmtId="0" xfId="0" applyAlignment="1" applyBorder="1" applyFont="1">
      <alignment horizontal="center"/>
    </xf>
    <xf borderId="22" fillId="2" fontId="10" numFmtId="169" xfId="0" applyBorder="1" applyFont="1" applyNumberFormat="1"/>
    <xf borderId="1" fillId="8" fontId="12" numFmtId="0" xfId="0" applyAlignment="1" applyBorder="1" applyFont="1">
      <alignment readingOrder="0"/>
    </xf>
    <xf borderId="4" fillId="8" fontId="10" numFmtId="169" xfId="0" applyBorder="1" applyFont="1" applyNumberFormat="1"/>
    <xf borderId="0" fillId="5" fontId="10" numFmtId="0" xfId="0" applyFont="1"/>
    <xf borderId="1" fillId="3" fontId="12" numFmtId="0" xfId="0" applyBorder="1" applyFont="1"/>
    <xf borderId="4" fillId="3" fontId="10" numFmtId="10" xfId="0" applyBorder="1" applyFont="1" applyNumberFormat="1"/>
    <xf borderId="0" fillId="5" fontId="10" numFmtId="10" xfId="0" applyFont="1" applyNumberFormat="1"/>
    <xf borderId="1" fillId="8" fontId="10" numFmtId="0" xfId="0" applyBorder="1" applyFont="1"/>
    <xf borderId="0" fillId="0" fontId="12" numFmtId="0" xfId="0" applyFont="1"/>
    <xf borderId="4" fillId="3" fontId="5" numFmtId="169" xfId="0" applyBorder="1" applyFont="1" applyNumberFormat="1"/>
    <xf borderId="0" fillId="0" fontId="18" numFmtId="0" xfId="0" applyAlignment="1" applyFont="1">
      <alignment readingOrder="0"/>
    </xf>
    <xf borderId="0" fillId="2" fontId="51" numFmtId="0" xfId="0" applyAlignment="1" applyFont="1">
      <alignment readingOrder="0" shrinkToFit="0" wrapText="1"/>
    </xf>
    <xf borderId="5" fillId="2" fontId="51" numFmtId="0" xfId="0" applyAlignment="1" applyBorder="1" applyFont="1">
      <alignment readingOrder="0" shrinkToFit="0" wrapText="1"/>
    </xf>
    <xf borderId="0" fillId="3" fontId="52" numFmtId="0" xfId="0" applyFont="1"/>
    <xf borderId="1" fillId="3" fontId="52" numFmtId="0" xfId="0" applyBorder="1" applyFont="1"/>
    <xf borderId="1" fillId="3" fontId="4" numFmtId="0" xfId="0" applyBorder="1" applyFont="1"/>
    <xf borderId="4" fillId="0" fontId="34" numFmtId="0" xfId="0" applyBorder="1" applyFont="1"/>
    <xf borderId="4" fillId="0" fontId="53" numFmtId="10" xfId="0" applyAlignment="1" applyBorder="1" applyFont="1" applyNumberFormat="1">
      <alignment horizontal="center"/>
    </xf>
    <xf borderId="4" fillId="21" fontId="53" numFmtId="10" xfId="0" applyAlignment="1" applyBorder="1" applyFill="1" applyFont="1" applyNumberFormat="1">
      <alignment horizontal="center"/>
    </xf>
    <xf borderId="0" fillId="17" fontId="54" numFmtId="0" xfId="0" applyAlignment="1" applyFont="1">
      <alignment horizontal="center"/>
    </xf>
    <xf borderId="1" fillId="17" fontId="54" numFmtId="0" xfId="0" applyAlignment="1" applyBorder="1" applyFont="1">
      <alignment horizontal="center"/>
    </xf>
    <xf borderId="4" fillId="0" fontId="4" numFmtId="0" xfId="0" applyBorder="1" applyFont="1"/>
    <xf borderId="1" fillId="22" fontId="55" numFmtId="0" xfId="0" applyAlignment="1" applyBorder="1" applyFill="1" applyFont="1">
      <alignment horizontal="center"/>
    </xf>
    <xf borderId="4" fillId="22" fontId="56" numFmtId="0" xfId="0" applyAlignment="1" applyBorder="1" applyFont="1">
      <alignment horizontal="center"/>
    </xf>
    <xf borderId="0" fillId="5" fontId="57" numFmtId="0" xfId="0" applyAlignment="1" applyFont="1">
      <alignment horizontal="center"/>
    </xf>
    <xf borderId="1" fillId="5" fontId="57" numFmtId="0" xfId="0" applyAlignment="1" applyBorder="1" applyFont="1">
      <alignment horizontal="center"/>
    </xf>
    <xf borderId="0" fillId="0" fontId="58" numFmtId="0" xfId="0" applyFont="1"/>
    <xf borderId="1" fillId="0" fontId="57" numFmtId="0" xfId="0" applyAlignment="1" applyBorder="1" applyFont="1">
      <alignment horizontal="center"/>
    </xf>
    <xf borderId="0" fillId="0" fontId="57" numFmtId="0" xfId="0" applyAlignment="1" applyFont="1">
      <alignment horizontal="center"/>
    </xf>
    <xf borderId="4" fillId="0" fontId="57" numFmtId="0" xfId="0" applyAlignment="1" applyBorder="1" applyFont="1">
      <alignment horizontal="center"/>
    </xf>
    <xf borderId="4" fillId="0" fontId="59" numFmtId="0" xfId="0" applyAlignment="1" applyBorder="1" applyFont="1">
      <alignment horizontal="center"/>
    </xf>
    <xf borderId="4" fillId="23" fontId="4" numFmtId="0" xfId="0" applyAlignment="1" applyBorder="1" applyFill="1" applyFont="1">
      <alignment horizontal="center"/>
    </xf>
    <xf borderId="4" fillId="2" fontId="5" numFmtId="10" xfId="0" applyAlignment="1" applyBorder="1" applyFont="1" applyNumberFormat="1">
      <alignment horizontal="center"/>
    </xf>
    <xf borderId="1" fillId="23" fontId="60" numFmtId="0" xfId="0" applyAlignment="1" applyBorder="1" applyFont="1">
      <alignment horizontal="center" readingOrder="0"/>
    </xf>
    <xf borderId="0" fillId="0" fontId="59" numFmtId="0" xfId="0" applyAlignment="1" applyFont="1">
      <alignment horizontal="center"/>
    </xf>
    <xf borderId="4" fillId="0" fontId="61" numFmtId="0" xfId="0" applyAlignment="1" applyBorder="1" applyFont="1">
      <alignment horizontal="center"/>
    </xf>
    <xf borderId="4" fillId="0" fontId="61" numFmtId="10" xfId="0" applyAlignment="1" applyBorder="1" applyFont="1" applyNumberFormat="1">
      <alignment horizontal="center"/>
    </xf>
    <xf borderId="4" fillId="0" fontId="62" numFmtId="10" xfId="0" applyAlignment="1" applyBorder="1" applyFont="1" applyNumberFormat="1">
      <alignment horizontal="center"/>
    </xf>
    <xf borderId="1" fillId="23" fontId="62" numFmtId="10" xfId="0" applyAlignment="1" applyBorder="1" applyFont="1" applyNumberFormat="1">
      <alignment horizontal="center"/>
    </xf>
    <xf borderId="4" fillId="23" fontId="18" numFmtId="0" xfId="0" applyAlignment="1" applyBorder="1" applyFont="1">
      <alignment horizontal="center" readingOrder="0"/>
    </xf>
    <xf borderId="4" fillId="23" fontId="5" numFmtId="167" xfId="0" applyAlignment="1" applyBorder="1" applyFont="1" applyNumberFormat="1">
      <alignment horizontal="center"/>
    </xf>
    <xf borderId="1" fillId="23" fontId="60" numFmtId="10" xfId="0" applyAlignment="1" applyBorder="1" applyFont="1" applyNumberFormat="1">
      <alignment horizontal="center"/>
    </xf>
    <xf borderId="1" fillId="2" fontId="5" numFmtId="0" xfId="0" applyAlignment="1" applyBorder="1" applyFont="1">
      <alignment horizontal="center"/>
    </xf>
    <xf borderId="4" fillId="2" fontId="5" numFmtId="168" xfId="0" applyAlignment="1" applyBorder="1" applyFont="1" applyNumberFormat="1">
      <alignment horizontal="center"/>
    </xf>
    <xf borderId="1" fillId="23" fontId="4" numFmtId="0" xfId="0" applyAlignment="1" applyBorder="1" applyFont="1">
      <alignment horizontal="center"/>
    </xf>
    <xf borderId="0" fillId="5" fontId="51" numFmtId="0" xfId="0" applyAlignment="1" applyFont="1">
      <alignment readingOrder="0" shrinkToFit="0" wrapText="1"/>
    </xf>
    <xf borderId="0" fillId="21" fontId="59" numFmtId="0" xfId="0" applyAlignment="1" applyFont="1">
      <alignment horizontal="center"/>
    </xf>
    <xf borderId="4" fillId="21" fontId="59" numFmtId="0" xfId="0" applyAlignment="1" applyBorder="1" applyFont="1">
      <alignment horizontal="center"/>
    </xf>
    <xf borderId="4" fillId="21" fontId="61" numFmtId="0" xfId="0" applyAlignment="1" applyBorder="1" applyFont="1">
      <alignment horizontal="center"/>
    </xf>
    <xf borderId="4" fillId="21" fontId="61" numFmtId="10" xfId="0" applyAlignment="1" applyBorder="1" applyFont="1" applyNumberFormat="1">
      <alignment horizontal="center"/>
    </xf>
    <xf borderId="0" fillId="5" fontId="34" numFmtId="0" xfId="0" applyFont="1"/>
    <xf borderId="0" fillId="5" fontId="53" numFmtId="10" xfId="0" applyAlignment="1" applyFont="1" applyNumberFormat="1">
      <alignment horizontal="center"/>
    </xf>
    <xf borderId="0" fillId="5" fontId="55" numFmtId="0" xfId="0" applyAlignment="1" applyFont="1">
      <alignment horizontal="center"/>
    </xf>
    <xf borderId="0" fillId="5" fontId="56" numFmtId="0" xfId="0" applyAlignment="1" applyFont="1">
      <alignment horizontal="center"/>
    </xf>
    <xf borderId="0" fillId="5" fontId="60" numFmtId="0" xfId="0" applyAlignment="1" applyFont="1">
      <alignment horizontal="center" readingOrder="0"/>
    </xf>
    <xf borderId="0" fillId="5" fontId="62" numFmtId="10" xfId="0" applyAlignment="1" applyFont="1" applyNumberFormat="1">
      <alignment horizontal="center"/>
    </xf>
    <xf borderId="0" fillId="5" fontId="60" numFmtId="10" xfId="0" applyAlignment="1" applyFont="1" applyNumberFormat="1">
      <alignment horizontal="center"/>
    </xf>
    <xf borderId="0" fillId="5" fontId="4" numFmtId="0" xfId="0" applyAlignment="1" applyFont="1">
      <alignment horizontal="center"/>
    </xf>
    <xf borderId="0" fillId="5" fontId="5" numFmtId="10" xfId="0" applyAlignment="1" applyFont="1" applyNumberFormat="1">
      <alignment horizontal="center"/>
    </xf>
    <xf borderId="0" fillId="5" fontId="18" numFmtId="0" xfId="0" applyAlignment="1" applyFont="1">
      <alignment horizontal="center" readingOrder="0"/>
    </xf>
    <xf borderId="0" fillId="5" fontId="5" numFmtId="167" xfId="0" applyAlignment="1" applyFont="1" applyNumberFormat="1">
      <alignment horizontal="center"/>
    </xf>
    <xf borderId="0" fillId="0" fontId="63" numFmtId="3" xfId="0" applyFont="1" applyNumberFormat="1"/>
    <xf borderId="0" fillId="5" fontId="5" numFmtId="0" xfId="0" applyAlignment="1" applyFont="1">
      <alignment horizontal="center"/>
    </xf>
    <xf borderId="0" fillId="5" fontId="5" numFmtId="168" xfId="0" applyAlignment="1" applyFont="1" applyNumberFormat="1">
      <alignment horizontal="center"/>
    </xf>
    <xf borderId="0" fillId="0" fontId="59" numFmtId="0" xfId="0" applyFont="1"/>
    <xf borderId="0" fillId="0" fontId="64" numFmtId="0" xfId="0" applyFont="1"/>
    <xf borderId="1" fillId="2" fontId="65" numFmtId="0" xfId="0" applyAlignment="1" applyBorder="1" applyFont="1">
      <alignment horizontal="center"/>
    </xf>
    <xf borderId="1" fillId="0" fontId="12" numFmtId="10" xfId="0" applyAlignment="1" applyBorder="1" applyFont="1" applyNumberFormat="1">
      <alignment horizontal="center"/>
    </xf>
    <xf borderId="4" fillId="5" fontId="10" numFmtId="9" xfId="0" applyBorder="1" applyFont="1" applyNumberFormat="1"/>
    <xf borderId="4" fillId="0" fontId="10" numFmtId="10" xfId="0" applyBorder="1" applyFont="1" applyNumberFormat="1"/>
    <xf borderId="1" fillId="4" fontId="10" numFmtId="0" xfId="0" applyAlignment="1" applyBorder="1" applyFont="1">
      <alignment horizontal="center"/>
    </xf>
    <xf borderId="0" fillId="0" fontId="10" numFmtId="169" xfId="0" applyFont="1" applyNumberFormat="1"/>
    <xf borderId="1" fillId="5" fontId="10" numFmtId="0" xfId="0" applyAlignment="1" applyBorder="1" applyFont="1">
      <alignment horizontal="center"/>
    </xf>
    <xf borderId="4" fillId="5" fontId="12" numFmtId="9" xfId="0" applyBorder="1" applyFont="1" applyNumberFormat="1"/>
    <xf borderId="1" fillId="24" fontId="10" numFmtId="0" xfId="0" applyAlignment="1" applyBorder="1" applyFill="1" applyFont="1">
      <alignment horizontal="center"/>
    </xf>
    <xf borderId="4" fillId="21" fontId="5" numFmtId="0" xfId="0" applyBorder="1" applyFont="1"/>
    <xf borderId="4" fillId="21" fontId="5" numFmtId="168" xfId="0" applyBorder="1" applyFont="1" applyNumberFormat="1"/>
    <xf borderId="4" fillId="2" fontId="10" numFmtId="0" xfId="0" applyBorder="1" applyFont="1"/>
    <xf borderId="4" fillId="3" fontId="13" numFmtId="0" xfId="0" applyBorder="1" applyFont="1"/>
    <xf borderId="4" fillId="3" fontId="11" numFmtId="0" xfId="0" applyBorder="1" applyFont="1"/>
    <xf borderId="4" fillId="0" fontId="11" numFmtId="3" xfId="0" applyAlignment="1" applyBorder="1" applyFont="1" applyNumberFormat="1">
      <alignment horizontal="center"/>
    </xf>
    <xf borderId="4" fillId="0" fontId="11" numFmtId="0" xfId="0" applyAlignment="1" applyBorder="1" applyFont="1">
      <alignment horizontal="center"/>
    </xf>
    <xf borderId="4" fillId="3" fontId="10" numFmtId="3" xfId="0" applyBorder="1" applyFont="1" applyNumberFormat="1"/>
    <xf borderId="4" fillId="3" fontId="12" numFmtId="0" xfId="0" applyBorder="1" applyFont="1"/>
    <xf borderId="4" fillId="0" fontId="10" numFmtId="3" xfId="0" applyAlignment="1" applyBorder="1" applyFont="1" applyNumberFormat="1">
      <alignment horizontal="center"/>
    </xf>
    <xf borderId="0" fillId="0" fontId="4" numFmtId="0" xfId="0" applyFont="1"/>
    <xf borderId="1" fillId="2" fontId="4" numFmtId="0" xfId="0" applyAlignment="1" applyBorder="1" applyFont="1">
      <alignment horizontal="center"/>
    </xf>
    <xf borderId="4" fillId="4" fontId="11" numFmtId="3" xfId="0" applyAlignment="1" applyBorder="1" applyFont="1" applyNumberFormat="1">
      <alignment readingOrder="0"/>
    </xf>
    <xf borderId="4" fillId="4" fontId="11" numFmtId="3" xfId="0" applyBorder="1" applyFont="1" applyNumberFormat="1"/>
    <xf borderId="4" fillId="4" fontId="11" numFmtId="0" xfId="0" applyAlignment="1" applyBorder="1" applyFont="1">
      <alignment readingOrder="0"/>
    </xf>
    <xf borderId="4" fillId="4" fontId="11" numFmtId="0" xfId="0" applyBorder="1" applyFont="1"/>
    <xf borderId="15" fillId="25" fontId="10" numFmtId="0" xfId="0" applyAlignment="1" applyBorder="1" applyFill="1" applyFont="1">
      <alignment horizontal="center"/>
    </xf>
    <xf borderId="65" fillId="0" fontId="2" numFmtId="0" xfId="0" applyBorder="1" applyFont="1"/>
    <xf borderId="66" fillId="25" fontId="10" numFmtId="0" xfId="0" applyBorder="1" applyFont="1"/>
    <xf borderId="66" fillId="25" fontId="10" numFmtId="17" xfId="0" applyBorder="1" applyFont="1" applyNumberFormat="1"/>
    <xf borderId="67" fillId="25" fontId="11" numFmtId="17" xfId="0" applyBorder="1" applyFont="1" applyNumberFormat="1"/>
    <xf borderId="68" fillId="25" fontId="11" numFmtId="17" xfId="0" applyBorder="1" applyFont="1" applyNumberFormat="1"/>
    <xf borderId="4" fillId="0" fontId="5" numFmtId="0" xfId="0" applyBorder="1" applyFont="1"/>
    <xf borderId="69" fillId="11" fontId="10" numFmtId="0" xfId="0" applyBorder="1" applyFont="1"/>
    <xf borderId="4" fillId="0" fontId="10" numFmtId="3" xfId="0" applyBorder="1" applyFont="1" applyNumberFormat="1"/>
    <xf borderId="70" fillId="11" fontId="5" numFmtId="0" xfId="0" applyBorder="1" applyFont="1"/>
    <xf borderId="4" fillId="26" fontId="5" numFmtId="3" xfId="0" applyAlignment="1" applyBorder="1" applyFill="1" applyFont="1" applyNumberFormat="1">
      <alignment horizontal="left"/>
    </xf>
    <xf borderId="71" fillId="11" fontId="10" numFmtId="0" xfId="0" applyBorder="1" applyFont="1"/>
    <xf borderId="72" fillId="11" fontId="10" numFmtId="0" xfId="0" applyBorder="1" applyFont="1"/>
    <xf borderId="73" fillId="11" fontId="11" numFmtId="0" xfId="0" applyBorder="1" applyFont="1"/>
    <xf borderId="74" fillId="11" fontId="11" numFmtId="0" xfId="0" applyBorder="1" applyFont="1"/>
    <xf borderId="4" fillId="11" fontId="11" numFmtId="3" xfId="0" applyBorder="1" applyFont="1" applyNumberFormat="1"/>
    <xf borderId="4" fillId="3" fontId="11" numFmtId="0" xfId="0" applyAlignment="1" applyBorder="1" applyFont="1">
      <alignment shrinkToFit="0" wrapText="1"/>
    </xf>
    <xf borderId="4" fillId="11" fontId="11" numFmtId="0" xfId="0" applyBorder="1" applyFont="1"/>
    <xf borderId="3" fillId="3" fontId="13" numFmtId="0" xfId="0" applyBorder="1" applyFont="1"/>
    <xf borderId="75" fillId="11" fontId="13" numFmtId="0" xfId="0" applyBorder="1" applyFont="1"/>
    <xf borderId="19" fillId="11" fontId="13" numFmtId="0" xfId="0" applyBorder="1" applyFont="1"/>
    <xf borderId="4" fillId="2" fontId="4" numFmtId="0" xfId="0" applyBorder="1" applyFont="1"/>
    <xf borderId="4" fillId="2" fontId="10" numFmtId="3" xfId="0" applyBorder="1" applyFont="1" applyNumberFormat="1"/>
    <xf borderId="3" fillId="0" fontId="5" numFmtId="0" xfId="0" applyBorder="1" applyFont="1"/>
    <xf borderId="76" fillId="11" fontId="10" numFmtId="0" xfId="0" applyBorder="1" applyFont="1"/>
    <xf borderId="3" fillId="3" fontId="11" numFmtId="0" xfId="0" applyBorder="1" applyFont="1"/>
    <xf borderId="32" fillId="11" fontId="11" numFmtId="0" xfId="0" applyBorder="1" applyFont="1"/>
    <xf borderId="30" fillId="11" fontId="11" numFmtId="0" xfId="0" applyBorder="1" applyFont="1"/>
    <xf borderId="4" fillId="0" fontId="11" numFmtId="3" xfId="0" applyBorder="1" applyFont="1" applyNumberFormat="1"/>
    <xf borderId="6" fillId="0" fontId="10" numFmtId="0" xfId="0" applyBorder="1" applyFont="1"/>
    <xf borderId="6" fillId="0" fontId="10" numFmtId="3" xfId="0" applyBorder="1" applyFont="1" applyNumberFormat="1"/>
    <xf borderId="7" fillId="0" fontId="10" numFmtId="3" xfId="0" applyBorder="1" applyFont="1" applyNumberFormat="1"/>
    <xf borderId="8" fillId="0" fontId="10" numFmtId="0" xfId="0" applyBorder="1" applyFont="1"/>
    <xf borderId="9" fillId="0" fontId="10" numFmtId="3" xfId="0" applyBorder="1" applyFont="1" applyNumberFormat="1"/>
    <xf borderId="0" fillId="0" fontId="10" numFmtId="3" xfId="0" applyFont="1" applyNumberFormat="1"/>
    <xf borderId="11" fillId="0" fontId="10" numFmtId="0" xfId="0" applyBorder="1" applyFont="1"/>
    <xf borderId="70" fillId="26" fontId="5" numFmtId="3" xfId="0" applyBorder="1" applyFont="1" applyNumberFormat="1"/>
    <xf borderId="19" fillId="26" fontId="5" numFmtId="3" xfId="0" applyBorder="1" applyFont="1" applyNumberFormat="1"/>
    <xf borderId="5" fillId="5" fontId="5" numFmtId="0" xfId="0" applyBorder="1" applyFont="1"/>
    <xf borderId="4" fillId="0" fontId="5" numFmtId="3" xfId="0" applyBorder="1" applyFont="1" applyNumberFormat="1"/>
    <xf borderId="4" fillId="27" fontId="10" numFmtId="0" xfId="0" applyBorder="1" applyFill="1" applyFont="1"/>
    <xf borderId="0" fillId="5" fontId="66" numFmtId="0" xfId="0" applyAlignment="1" applyFont="1">
      <alignment horizontal="center" shrinkToFit="1" wrapText="0"/>
    </xf>
    <xf borderId="4" fillId="0" fontId="5" numFmtId="170" xfId="0" applyBorder="1" applyFont="1" applyNumberFormat="1"/>
    <xf borderId="32" fillId="5" fontId="9" numFmtId="0" xfId="0" applyBorder="1" applyFont="1"/>
    <xf borderId="4" fillId="26" fontId="5" numFmtId="170" xfId="0" applyBorder="1" applyFont="1" applyNumberFormat="1"/>
    <xf borderId="0" fillId="5" fontId="11" numFmtId="3" xfId="0" applyFont="1" applyNumberFormat="1"/>
    <xf borderId="4" fillId="19" fontId="4" numFmtId="170" xfId="0" applyBorder="1" applyFont="1" applyNumberFormat="1"/>
    <xf borderId="4" fillId="5" fontId="4" numFmtId="0" xfId="0" applyBorder="1" applyFont="1"/>
    <xf borderId="1" fillId="25" fontId="10" numFmtId="0" xfId="0" applyAlignment="1" applyBorder="1" applyFont="1">
      <alignment horizontal="center"/>
    </xf>
    <xf borderId="4" fillId="25" fontId="10" numFmtId="0" xfId="0" applyBorder="1" applyFont="1"/>
    <xf borderId="4" fillId="25" fontId="11" numFmtId="17" xfId="0" applyBorder="1" applyFont="1" applyNumberFormat="1"/>
    <xf borderId="4" fillId="5" fontId="9" numFmtId="0" xfId="0" applyBorder="1" applyFont="1"/>
    <xf borderId="4" fillId="0" fontId="10" numFmtId="170" xfId="0" applyBorder="1" applyFont="1" applyNumberFormat="1"/>
    <xf borderId="4" fillId="0" fontId="10" numFmtId="9" xfId="0" applyBorder="1" applyFont="1" applyNumberFormat="1"/>
    <xf borderId="4" fillId="3" fontId="5" numFmtId="0" xfId="0" applyBorder="1" applyFont="1"/>
    <xf borderId="4" fillId="3" fontId="4" numFmtId="0" xfId="0" applyBorder="1" applyFont="1"/>
    <xf borderId="4" fillId="3" fontId="10" numFmtId="170" xfId="0" applyBorder="1" applyFont="1" applyNumberFormat="1"/>
    <xf borderId="4" fillId="26" fontId="10" numFmtId="0" xfId="0" applyBorder="1" applyFont="1"/>
    <xf borderId="5" fillId="4" fontId="18" numFmtId="0" xfId="0" applyAlignment="1" applyBorder="1" applyFont="1">
      <alignment readingOrder="0" shrinkToFit="0" wrapText="1"/>
    </xf>
    <xf borderId="4" fillId="17" fontId="18" numFmtId="0" xfId="0" applyAlignment="1" applyBorder="1" applyFont="1">
      <alignment horizontal="center" vertical="bottom"/>
    </xf>
    <xf borderId="4" fillId="17" fontId="18" numFmtId="171" xfId="0" applyAlignment="1" applyBorder="1" applyFont="1" applyNumberFormat="1">
      <alignment horizontal="center" readingOrder="0" vertical="bottom"/>
    </xf>
    <xf borderId="0" fillId="0" fontId="18" numFmtId="0" xfId="0" applyAlignment="1" applyFont="1">
      <alignment vertical="bottom"/>
    </xf>
    <xf borderId="0" fillId="0" fontId="18" numFmtId="0" xfId="0" applyAlignment="1" applyFont="1">
      <alignment horizontal="right" vertical="bottom"/>
    </xf>
    <xf borderId="4" fillId="5" fontId="18" numFmtId="0" xfId="0" applyAlignment="1" applyBorder="1" applyFont="1">
      <alignment horizontal="center" vertical="bottom"/>
    </xf>
    <xf borderId="4" fillId="5" fontId="67" numFmtId="172" xfId="0" applyAlignment="1" applyBorder="1" applyFont="1" applyNumberFormat="1">
      <alignment horizontal="right" readingOrder="0" vertical="bottom"/>
    </xf>
    <xf borderId="4" fillId="5" fontId="18" numFmtId="172" xfId="0" applyAlignment="1" applyBorder="1" applyFont="1" applyNumberFormat="1">
      <alignment horizontal="right" vertical="bottom"/>
    </xf>
    <xf borderId="0" fillId="5" fontId="67" numFmtId="0" xfId="0" applyAlignment="1" applyFont="1">
      <alignment horizontal="right" vertical="bottom"/>
    </xf>
    <xf borderId="4" fillId="5" fontId="18" numFmtId="172" xfId="0" applyAlignment="1" applyBorder="1" applyFont="1" applyNumberFormat="1">
      <alignment horizontal="right" readingOrder="0" vertical="bottom"/>
    </xf>
    <xf borderId="0" fillId="0" fontId="18" numFmtId="9" xfId="0" applyAlignment="1" applyFont="1" applyNumberFormat="1">
      <alignment horizontal="right" vertical="bottom"/>
    </xf>
    <xf borderId="0" fillId="5" fontId="12" numFmtId="172" xfId="0" applyAlignment="1" applyFont="1" applyNumberFormat="1">
      <alignment horizontal="right" readingOrder="0"/>
    </xf>
    <xf borderId="4" fillId="3" fontId="18" numFmtId="0" xfId="0" applyAlignment="1" applyBorder="1" applyFont="1">
      <alignment horizontal="center" vertical="bottom"/>
    </xf>
    <xf borderId="4" fillId="3" fontId="18" numFmtId="172" xfId="0" applyAlignment="1" applyBorder="1" applyFont="1" applyNumberFormat="1">
      <alignment horizontal="right" vertical="bottom"/>
    </xf>
    <xf borderId="1" fillId="24" fontId="18" numFmtId="0" xfId="0" applyAlignment="1" applyBorder="1" applyFont="1">
      <alignment horizontal="center"/>
    </xf>
    <xf borderId="4" fillId="2" fontId="18" numFmtId="0" xfId="0" applyAlignment="1" applyBorder="1" applyFont="1">
      <alignment vertical="bottom"/>
    </xf>
    <xf borderId="4" fillId="2" fontId="18" numFmtId="10" xfId="0" applyAlignment="1" applyBorder="1" applyFont="1" applyNumberFormat="1">
      <alignment horizontal="right" readingOrder="0" vertical="bottom"/>
    </xf>
    <xf borderId="1" fillId="4" fontId="18" numFmtId="0" xfId="0" applyAlignment="1" applyBorder="1" applyFont="1">
      <alignment readingOrder="0"/>
    </xf>
    <xf borderId="4" fillId="0" fontId="18" numFmtId="0" xfId="0" applyAlignment="1" applyBorder="1" applyFont="1">
      <alignment vertical="bottom"/>
    </xf>
    <xf borderId="4" fillId="0" fontId="18" numFmtId="0" xfId="0" applyAlignment="1" applyBorder="1" applyFont="1">
      <alignment horizontal="right" vertical="bottom"/>
    </xf>
    <xf borderId="4" fillId="0" fontId="18" numFmtId="10" xfId="0" applyAlignment="1" applyBorder="1" applyFont="1" applyNumberFormat="1">
      <alignment horizontal="right" vertical="bottom"/>
    </xf>
    <xf borderId="4" fillId="0" fontId="18" numFmtId="10" xfId="0" applyAlignment="1" applyBorder="1" applyFont="1" applyNumberFormat="1">
      <alignment vertical="bottom"/>
    </xf>
    <xf borderId="4" fillId="0" fontId="18" numFmtId="172" xfId="0" applyAlignment="1" applyBorder="1" applyFont="1" applyNumberFormat="1">
      <alignment horizontal="right" vertical="bottom"/>
    </xf>
    <xf borderId="4" fillId="21" fontId="18" numFmtId="0" xfId="0" applyAlignment="1" applyBorder="1" applyFont="1">
      <alignment readingOrder="0" vertical="bottom"/>
    </xf>
    <xf borderId="4" fillId="21" fontId="18" numFmtId="172" xfId="0" applyAlignment="1" applyBorder="1" applyFont="1" applyNumberFormat="1">
      <alignment horizontal="right" vertical="bottom"/>
    </xf>
    <xf borderId="4" fillId="0" fontId="18" numFmtId="3" xfId="0" applyAlignment="1" applyBorder="1" applyFont="1" applyNumberFormat="1">
      <alignment horizontal="right" vertical="bottom"/>
    </xf>
    <xf borderId="4" fillId="0" fontId="68" numFmtId="3" xfId="0" applyAlignment="1" applyBorder="1" applyFont="1" applyNumberFormat="1">
      <alignment horizontal="right"/>
    </xf>
    <xf borderId="4" fillId="0" fontId="18" numFmtId="3" xfId="0" applyAlignment="1" applyBorder="1" applyFont="1" applyNumberFormat="1">
      <alignment vertical="bottom"/>
    </xf>
    <xf borderId="4" fillId="0" fontId="18" numFmtId="0" xfId="0" applyAlignment="1" applyBorder="1" applyFont="1">
      <alignment readingOrder="0" vertical="bottom"/>
    </xf>
    <xf borderId="4" fillId="5" fontId="69" numFmtId="3" xfId="0" applyAlignment="1" applyBorder="1" applyFont="1" applyNumberFormat="1">
      <alignment horizontal="right" readingOrder="0"/>
    </xf>
    <xf borderId="4" fillId="21" fontId="18" numFmtId="0" xfId="0" applyAlignment="1" applyBorder="1" applyFont="1">
      <alignment vertical="bottom"/>
    </xf>
    <xf borderId="4" fillId="2" fontId="18" numFmtId="0" xfId="0" applyBorder="1" applyFont="1"/>
    <xf borderId="4" fillId="2" fontId="18" numFmtId="0" xfId="0" applyAlignment="1" applyBorder="1" applyFont="1">
      <alignment readingOrder="0"/>
    </xf>
    <xf borderId="4" fillId="0" fontId="18" numFmtId="0" xfId="0" applyAlignment="1" applyBorder="1" applyFont="1">
      <alignment readingOrder="0"/>
    </xf>
    <xf borderId="1" fillId="3" fontId="18" numFmtId="0" xfId="0" applyAlignment="1" applyBorder="1" applyFont="1">
      <alignment readingOrder="0"/>
    </xf>
    <xf borderId="0" fillId="0" fontId="70" numFmtId="0" xfId="0" applyAlignment="1" applyFont="1">
      <alignment readingOrder="0"/>
    </xf>
    <xf borderId="0" fillId="0" fontId="4" numFmtId="0" xfId="0" applyAlignment="1" applyFont="1">
      <alignment horizontal="right"/>
    </xf>
    <xf borderId="77" fillId="0" fontId="71" numFmtId="0" xfId="0" applyAlignment="1" applyBorder="1" applyFont="1">
      <alignment horizontal="left" readingOrder="0" shrinkToFit="0" wrapText="0"/>
    </xf>
    <xf borderId="4" fillId="3" fontId="18" numFmtId="0" xfId="0" applyAlignment="1" applyBorder="1" applyFont="1">
      <alignment horizontal="left" readingOrder="0" shrinkToFit="0" wrapText="0"/>
    </xf>
    <xf borderId="4" fillId="3" fontId="72" numFmtId="0" xfId="0" applyAlignment="1" applyBorder="1" applyFont="1">
      <alignment horizontal="right" readingOrder="0"/>
    </xf>
    <xf borderId="4" fillId="3" fontId="18" numFmtId="0" xfId="0" applyAlignment="1" applyBorder="1" applyFont="1">
      <alignment horizontal="right" readingOrder="0"/>
    </xf>
    <xf borderId="4" fillId="3" fontId="72" numFmtId="0" xfId="0" applyAlignment="1" applyBorder="1" applyFont="1">
      <alignment horizontal="right" readingOrder="0"/>
    </xf>
    <xf borderId="0" fillId="0" fontId="73" numFmtId="0" xfId="0" applyAlignment="1" applyFont="1">
      <alignment horizontal="left" readingOrder="0" shrinkToFit="0" wrapText="0"/>
    </xf>
    <xf borderId="4" fillId="17" fontId="74" numFmtId="0" xfId="0" applyAlignment="1" applyBorder="1" applyFont="1">
      <alignment horizontal="left" readingOrder="0" shrinkToFit="0" wrapText="0"/>
    </xf>
    <xf borderId="4" fillId="17" fontId="73" numFmtId="173" xfId="0" applyAlignment="1" applyBorder="1" applyFont="1" applyNumberFormat="1">
      <alignment horizontal="right" readingOrder="0"/>
    </xf>
    <xf borderId="4" fillId="17" fontId="18" numFmtId="0" xfId="0" applyAlignment="1" applyBorder="1" applyFont="1">
      <alignment horizontal="right" readingOrder="0"/>
    </xf>
    <xf borderId="4" fillId="17" fontId="75" numFmtId="0" xfId="0" applyAlignment="1" applyBorder="1" applyFont="1">
      <alignment horizontal="right" readingOrder="0"/>
    </xf>
    <xf borderId="4" fillId="17" fontId="73" numFmtId="0" xfId="0" applyAlignment="1" applyBorder="1" applyFont="1">
      <alignment horizontal="right" readingOrder="0"/>
    </xf>
    <xf borderId="4" fillId="0" fontId="76" numFmtId="0" xfId="0" applyAlignment="1" applyBorder="1" applyFont="1">
      <alignment horizontal="left" readingOrder="0" shrinkToFit="0" wrapText="0"/>
    </xf>
    <xf borderId="4" fillId="28" fontId="73" numFmtId="173" xfId="0" applyAlignment="1" applyBorder="1" applyFill="1" applyFont="1" applyNumberFormat="1">
      <alignment horizontal="right" readingOrder="0"/>
    </xf>
    <xf borderId="4" fillId="0" fontId="18" numFmtId="0" xfId="0" applyAlignment="1" applyBorder="1" applyFont="1">
      <alignment horizontal="right" readingOrder="0"/>
    </xf>
    <xf borderId="4" fillId="28" fontId="75" numFmtId="0" xfId="0" applyAlignment="1" applyBorder="1" applyFont="1">
      <alignment horizontal="right" readingOrder="0"/>
    </xf>
    <xf borderId="4" fillId="28" fontId="73" numFmtId="0" xfId="0" applyAlignment="1" applyBorder="1" applyFont="1">
      <alignment horizontal="right" readingOrder="0"/>
    </xf>
    <xf borderId="4" fillId="5" fontId="77" numFmtId="0" xfId="0" applyAlignment="1" applyBorder="1" applyFont="1">
      <alignment horizontal="left" readingOrder="0" shrinkToFit="0" wrapText="0"/>
    </xf>
    <xf borderId="4" fillId="5" fontId="73" numFmtId="173" xfId="0" applyAlignment="1" applyBorder="1" applyFont="1" applyNumberFormat="1">
      <alignment horizontal="right" readingOrder="0"/>
    </xf>
    <xf borderId="4" fillId="5" fontId="18" numFmtId="0" xfId="0" applyAlignment="1" applyBorder="1" applyFont="1">
      <alignment horizontal="right" readingOrder="0"/>
    </xf>
    <xf borderId="4" fillId="5" fontId="75" numFmtId="0" xfId="0" applyAlignment="1" applyBorder="1" applyFont="1">
      <alignment horizontal="right" readingOrder="0"/>
    </xf>
    <xf borderId="4" fillId="5" fontId="73" numFmtId="0" xfId="0" applyAlignment="1" applyBorder="1" applyFont="1">
      <alignment horizontal="right" readingOrder="0"/>
    </xf>
    <xf borderId="4" fillId="5" fontId="75" numFmtId="173" xfId="0" applyAlignment="1" applyBorder="1" applyFont="1" applyNumberFormat="1">
      <alignment horizontal="right" readingOrder="0"/>
    </xf>
    <xf borderId="4" fillId="0" fontId="18" numFmtId="173" xfId="0" applyAlignment="1" applyBorder="1" applyFont="1" applyNumberFormat="1">
      <alignment horizontal="right" readingOrder="0"/>
    </xf>
    <xf borderId="4" fillId="17" fontId="18" numFmtId="173" xfId="0" applyAlignment="1" applyBorder="1" applyFont="1" applyNumberFormat="1">
      <alignment horizontal="right" readingOrder="0"/>
    </xf>
    <xf borderId="4" fillId="2" fontId="4" numFmtId="173" xfId="0" applyBorder="1" applyFont="1" applyNumberFormat="1"/>
    <xf borderId="4" fillId="2" fontId="4" numFmtId="173" xfId="0" applyAlignment="1" applyBorder="1" applyFont="1" applyNumberFormat="1">
      <alignment horizontal="right"/>
    </xf>
    <xf borderId="4" fillId="17" fontId="18" numFmtId="0" xfId="0" applyAlignment="1" applyBorder="1" applyFont="1">
      <alignment readingOrder="0"/>
    </xf>
    <xf borderId="6" fillId="0" fontId="4" numFmtId="0" xfId="0" applyAlignment="1" applyBorder="1" applyFont="1">
      <alignment horizontal="right"/>
    </xf>
    <xf borderId="7" fillId="0" fontId="4" numFmtId="0" xfId="0" applyBorder="1" applyFont="1"/>
    <xf borderId="8" fillId="0" fontId="4" numFmtId="0" xfId="0" applyBorder="1" applyFont="1"/>
    <xf borderId="9" fillId="0" fontId="4" numFmtId="0" xfId="0" applyBorder="1" applyFont="1"/>
    <xf borderId="1" fillId="0" fontId="78" numFmtId="0" xfId="0" applyAlignment="1" applyBorder="1" applyFont="1">
      <alignment horizontal="center" readingOrder="0"/>
    </xf>
    <xf borderId="2" fillId="0" fontId="78" numFmtId="0" xfId="0" applyAlignment="1" applyBorder="1" applyFont="1">
      <alignment horizontal="center"/>
    </xf>
    <xf borderId="8" fillId="0" fontId="4" numFmtId="0" xfId="0" applyAlignment="1" applyBorder="1" applyFont="1">
      <alignment readingOrder="0"/>
    </xf>
    <xf borderId="0" fillId="0" fontId="4" numFmtId="0" xfId="0" applyAlignment="1" applyFont="1">
      <alignment readingOrder="0"/>
    </xf>
    <xf borderId="10" fillId="0" fontId="4" numFmtId="0" xfId="0" applyAlignment="1" applyBorder="1" applyFont="1">
      <alignment readingOrder="0"/>
    </xf>
    <xf borderId="11" fillId="0" fontId="4" numFmtId="0" xfId="0" applyAlignment="1" applyBorder="1" applyFont="1">
      <alignment readingOrder="0"/>
    </xf>
    <xf borderId="8" fillId="3" fontId="4" numFmtId="0" xfId="0" applyAlignment="1" applyBorder="1" applyFont="1">
      <alignment readingOrder="0"/>
    </xf>
    <xf borderId="1" fillId="0" fontId="78" numFmtId="0" xfId="0" applyAlignment="1" applyBorder="1" applyFont="1">
      <alignment horizontal="center"/>
    </xf>
    <xf borderId="2" fillId="0" fontId="78" numFmtId="0" xfId="0" applyAlignment="1" applyBorder="1" applyFont="1">
      <alignment horizontal="center" readingOrder="0"/>
    </xf>
    <xf borderId="0" fillId="0" fontId="4" numFmtId="0" xfId="0" applyAlignment="1" applyFont="1">
      <alignment horizontal="right" readingOrder="0"/>
    </xf>
    <xf borderId="11" fillId="0" fontId="4" numFmtId="0" xfId="0" applyBorder="1" applyFont="1"/>
    <xf borderId="11" fillId="0" fontId="4" numFmtId="0" xfId="0" applyAlignment="1" applyBorder="1" applyFont="1">
      <alignment horizontal="right"/>
    </xf>
    <xf borderId="11" fillId="0" fontId="4" numFmtId="0" xfId="0" applyAlignment="1" applyBorder="1" applyFont="1">
      <alignment horizontal="right" readingOrder="0"/>
    </xf>
    <xf borderId="4" fillId="3" fontId="4" numFmtId="0" xfId="0" applyAlignment="1" applyBorder="1" applyFont="1">
      <alignment readingOrder="0"/>
    </xf>
    <xf borderId="8" fillId="0" fontId="4" numFmtId="0" xfId="0" applyAlignment="1" applyBorder="1" applyFont="1">
      <alignment readingOrder="0"/>
    </xf>
    <xf borderId="4" fillId="2" fontId="79" numFmtId="173" xfId="0" applyAlignment="1" applyBorder="1" applyFont="1" applyNumberFormat="1">
      <alignment horizontal="center"/>
    </xf>
    <xf borderId="4" fillId="2" fontId="35" numFmtId="0" xfId="0" applyAlignment="1" applyBorder="1" applyFont="1">
      <alignment horizontal="center" readingOrder="0"/>
    </xf>
    <xf borderId="4" fillId="2" fontId="79" numFmtId="0" xfId="0" applyAlignment="1" applyBorder="1" applyFont="1">
      <alignment horizontal="center"/>
    </xf>
    <xf borderId="0" fillId="5" fontId="4" numFmtId="0" xfId="0" applyAlignment="1" applyFont="1">
      <alignment readingOrder="0"/>
    </xf>
    <xf borderId="10" fillId="0" fontId="4" numFmtId="0" xfId="0" applyAlignment="1" applyBorder="1" applyFont="1">
      <alignment readingOrder="0"/>
    </xf>
    <xf borderId="10" fillId="0" fontId="4" numFmtId="0" xfId="0" applyBorder="1" applyFont="1"/>
    <xf borderId="12" fillId="0" fontId="4" numFmtId="0" xfId="0" applyBorder="1" applyFont="1"/>
    <xf borderId="8" fillId="5" fontId="4" numFmtId="0" xfId="0" applyAlignment="1" applyBorder="1" applyFont="1">
      <alignment readingOrder="0"/>
    </xf>
    <xf borderId="4" fillId="2" fontId="12" numFmtId="0" xfId="0" applyAlignment="1" applyBorder="1" applyFont="1">
      <alignment horizontal="center" vertical="bottom"/>
    </xf>
    <xf borderId="4" fillId="2" fontId="5" numFmtId="173" xfId="0" applyAlignment="1" applyBorder="1" applyFont="1" applyNumberFormat="1">
      <alignment horizontal="center" vertical="bottom"/>
    </xf>
    <xf borderId="4" fillId="2" fontId="34" numFmtId="0" xfId="0" applyAlignment="1" applyBorder="1" applyFont="1">
      <alignment horizontal="center" readingOrder="0" vertical="bottom"/>
    </xf>
    <xf borderId="4" fillId="2" fontId="5" numFmtId="0" xfId="0" applyAlignment="1" applyBorder="1" applyFont="1">
      <alignment horizontal="center" vertical="bottom"/>
    </xf>
    <xf borderId="4" fillId="4" fontId="18" numFmtId="0" xfId="0" applyAlignment="1" applyBorder="1" applyFont="1">
      <alignment horizontal="center" readingOrder="0"/>
    </xf>
    <xf borderId="5" fillId="4" fontId="12" numFmtId="0" xfId="0" applyAlignment="1" applyBorder="1" applyFont="1">
      <alignment horizontal="center" shrinkToFit="0" vertical="center" wrapText="1"/>
    </xf>
    <xf borderId="4" fillId="4" fontId="4" numFmtId="173" xfId="0" applyAlignment="1" applyBorder="1" applyFont="1" applyNumberFormat="1">
      <alignment horizontal="center"/>
    </xf>
    <xf borderId="0" fillId="5" fontId="73" numFmtId="173" xfId="0" applyAlignment="1" applyFont="1" applyNumberFormat="1">
      <alignment horizontal="right" readingOrder="0"/>
    </xf>
    <xf borderId="0" fillId="5" fontId="18" numFmtId="173" xfId="0" applyAlignment="1" applyFont="1" applyNumberFormat="1">
      <alignment horizontal="right" readingOrder="0"/>
    </xf>
    <xf borderId="1" fillId="4" fontId="4" numFmtId="0" xfId="0" applyBorder="1" applyFont="1"/>
    <xf borderId="1" fillId="4" fontId="80" numFmtId="0" xfId="0" applyBorder="1" applyFont="1"/>
    <xf borderId="1" fillId="4" fontId="8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3</xdr:row>
      <xdr:rowOff>76200</xdr:rowOff>
    </xdr:from>
    <xdr:ext cx="6096000" cy="3267075"/>
    <xdr:pic>
      <xdr:nvPicPr>
        <xdr:cNvPr descr="Tata Power shares have run ahead of fundamentals, says CLSA, projecting a  33% downside - CNBC TV18"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285750</xdr:colOff>
      <xdr:row>6</xdr:row>
      <xdr:rowOff>66675</xdr:rowOff>
    </xdr:from>
    <xdr:ext cx="7315200" cy="2057400"/>
    <xdr:pic>
      <xdr:nvPicPr>
        <xdr:cNvPr descr="Beta (β)"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screener.in/people/163832/sir-ratan-tata-trust-mr-noel-n-tata-mr-venu-srinivasanmr-vijay-singh-mr-jimmy-n-tatamr-jehangir-hc-jehangir-mr-mehli-mistrymr-darius-khambata/" TargetMode="External"/><Relationship Id="rId42" Type="http://schemas.openxmlformats.org/officeDocument/2006/relationships/hyperlink" Target="https://www.screener.in/people/163833/jrd-tata-trust-mr-noel-n-tata-mr-venu-srinivasan-mr-vijay-singh-mr-neville-tata/" TargetMode="External"/><Relationship Id="rId41" Type="http://schemas.openxmlformats.org/officeDocument/2006/relationships/hyperlink" Target="https://www.screener.in/people/163833/jrd-tata-trust-mr-noel-n-tata-mr-venu-srinivasan-mr-vijay-singh-mr-neville-tata/" TargetMode="External"/><Relationship Id="rId44" Type="http://schemas.openxmlformats.org/officeDocument/2006/relationships/hyperlink" Target="https://www.screener.in/people/2846/matthews-pacific-tiger-fund/" TargetMode="External"/><Relationship Id="rId43" Type="http://schemas.openxmlformats.org/officeDocument/2006/relationships/hyperlink" Target="https://www.screener.in/people/163833/jrd-tata-trust-mr-noel-n-tata-mr-venu-srinivasan-mr-vijay-singh-mr-neville-tata/" TargetMode="External"/><Relationship Id="rId46" Type="http://schemas.openxmlformats.org/officeDocument/2006/relationships/hyperlink" Target="https://www.screener.in/people/72944/stewart-investors-global-emerging-markets-leaders-fund/" TargetMode="External"/><Relationship Id="rId45" Type="http://schemas.openxmlformats.org/officeDocument/2006/relationships/hyperlink" Target="https://www.screener.in/people/37561/first-state-investments-icvc-stewart-investors-global-emerging-markets-leaders-fund/" TargetMode="External"/><Relationship Id="rId1" Type="http://schemas.openxmlformats.org/officeDocument/2006/relationships/hyperlink" Target="https://www.screener.in/people/17214/tata-sons-private-limited/" TargetMode="External"/><Relationship Id="rId2" Type="http://schemas.openxmlformats.org/officeDocument/2006/relationships/hyperlink" Target="https://www.screener.in/people/56999/tata-steel-limited/" TargetMode="External"/><Relationship Id="rId3" Type="http://schemas.openxmlformats.org/officeDocument/2006/relationships/hyperlink" Target="https://www.screener.in/people/2346/tata-investment-corporation-ltd/" TargetMode="External"/><Relationship Id="rId4" Type="http://schemas.openxmlformats.org/officeDocument/2006/relationships/hyperlink" Target="https://www.screener.in/people/38533/tata-industries-limited/" TargetMode="External"/><Relationship Id="rId9" Type="http://schemas.openxmlformats.org/officeDocument/2006/relationships/hyperlink" Target="https://www.screener.in/people/72367/sheba-properties-ltd/" TargetMode="External"/><Relationship Id="rId48" Type="http://schemas.openxmlformats.org/officeDocument/2006/relationships/hyperlink" Target="https://www.screener.in/people/72986/first-state-investments-global-emerging-markets-leaders-fund-a-sub-fund-of-the-first-state-investments-delaware-statutory-trust/" TargetMode="External"/><Relationship Id="rId47" Type="http://schemas.openxmlformats.org/officeDocument/2006/relationships/hyperlink" Target="https://www.screener.in/people/72997/i-matthews-pacific-tiger-fund/" TargetMode="External"/><Relationship Id="rId49" Type="http://schemas.openxmlformats.org/officeDocument/2006/relationships/hyperlink" Target="https://www.screener.in/people/72989/mahout-global-emerging-markets-leaders-fund-a-sub-fund-of-the-mahout-delaware-statutory-trust/" TargetMode="External"/><Relationship Id="rId5" Type="http://schemas.openxmlformats.org/officeDocument/2006/relationships/hyperlink" Target="https://www.screener.in/people/72909/ewart-investments-limited/" TargetMode="External"/><Relationship Id="rId6" Type="http://schemas.openxmlformats.org/officeDocument/2006/relationships/hyperlink" Target="https://www.screener.in/people/72984/sir-dorabji-tata-trust/" TargetMode="External"/><Relationship Id="rId7" Type="http://schemas.openxmlformats.org/officeDocument/2006/relationships/hyperlink" Target="https://www.screener.in/people/38529/sir-ratan-tata-trust/" TargetMode="External"/><Relationship Id="rId8" Type="http://schemas.openxmlformats.org/officeDocument/2006/relationships/hyperlink" Target="https://www.screener.in/people/38540/sir-dorabji-tata-trust-r-n-tatav-srinivasanv-singhr-k-krishna-kumarpramit-jhaveri/" TargetMode="External"/><Relationship Id="rId31" Type="http://schemas.openxmlformats.org/officeDocument/2006/relationships/hyperlink" Target="https://www.screener.in/people/145400/sir-ratan-tata-trust-mr-r-n-tata-mr-vijay-singh-mr-venu-srinivasan-mr-j-n-tata-mr-n-n-tata-mr-mehli-mistry-mr-jehangir-hc-jehangir-mr-darius-khambata/" TargetMode="External"/><Relationship Id="rId30" Type="http://schemas.openxmlformats.org/officeDocument/2006/relationships/hyperlink" Target="https://www.screener.in/people/145400/sir-ratan-tata-trust-mr-r-n-tata-mr-vijay-singh-mr-venu-srinivasan-mr-j-n-tata-mr-n-n-tata-mr-mehli-mistry-mr-jehangir-hc-jehangir-mr-darius-khambata/" TargetMode="External"/><Relationship Id="rId33" Type="http://schemas.openxmlformats.org/officeDocument/2006/relationships/hyperlink" Target="https://www.screener.in/people/145401/sir-dorabji-tata-trust-mr-r-n-tata-mr-vijay-singh-mr-venu-srinivasan-mr-n-n-tata-mr-mehli-mistry-mr-pramit-jhaveri-mr-darius-khambata/" TargetMode="External"/><Relationship Id="rId32" Type="http://schemas.openxmlformats.org/officeDocument/2006/relationships/hyperlink" Target="https://www.screener.in/people/145401/sir-dorabji-tata-trust-mr-r-n-tata-mr-vijay-singh-mr-venu-srinivasan-mr-n-n-tata-mr-mehli-mistry-mr-pramit-jhaveri-mr-darius-khambata/" TargetMode="External"/><Relationship Id="rId35" Type="http://schemas.openxmlformats.org/officeDocument/2006/relationships/hyperlink" Target="https://www.screener.in/people/163831/sir-dorabji-tata-trust-mr-noel-n-tata-mr-venu-srinivasan-mr-vijay-singh-mr-pramit-jhaveri-mr-mehli-mistry-mr-darius-khambata/" TargetMode="External"/><Relationship Id="rId34" Type="http://schemas.openxmlformats.org/officeDocument/2006/relationships/hyperlink" Target="https://www.screener.in/people/145401/sir-dorabji-tata-trust-mr-r-n-tata-mr-vijay-singh-mr-venu-srinivasan-mr-n-n-tata-mr-mehli-mistry-mr-pramit-jhaveri-mr-darius-khambata/" TargetMode="External"/><Relationship Id="rId37" Type="http://schemas.openxmlformats.org/officeDocument/2006/relationships/hyperlink" Target="https://www.screener.in/people/163831/sir-dorabji-tata-trust-mr-noel-n-tata-mr-venu-srinivasan-mr-vijay-singh-mr-pramit-jhaveri-mr-mehli-mistry-mr-darius-khambata/" TargetMode="External"/><Relationship Id="rId36" Type="http://schemas.openxmlformats.org/officeDocument/2006/relationships/hyperlink" Target="https://www.screener.in/people/163831/sir-dorabji-tata-trust-mr-noel-n-tata-mr-venu-srinivasan-mr-vijay-singh-mr-pramit-jhaveri-mr-mehli-mistry-mr-darius-khambata/" TargetMode="External"/><Relationship Id="rId39" Type="http://schemas.openxmlformats.org/officeDocument/2006/relationships/hyperlink" Target="https://www.screener.in/people/163832/sir-ratan-tata-trust-mr-noel-n-tata-mr-venu-srinivasanmr-vijay-singh-mr-jimmy-n-tatamr-jehangir-hc-jehangir-mr-mehli-mistrymr-darius-khambata/" TargetMode="External"/><Relationship Id="rId38" Type="http://schemas.openxmlformats.org/officeDocument/2006/relationships/hyperlink" Target="https://www.screener.in/people/163832/sir-ratan-tata-trust-mr-noel-n-tata-mr-venu-srinivasanmr-vijay-singh-mr-jimmy-n-tatamr-jehangir-hc-jehangir-mr-mehli-mistrymr-darius-khambata/" TargetMode="External"/><Relationship Id="rId62" Type="http://schemas.openxmlformats.org/officeDocument/2006/relationships/hyperlink" Target="https://www.screener.in/people/144848/mirae-asset-large-midcap-fund/" TargetMode="External"/><Relationship Id="rId61" Type="http://schemas.openxmlformats.org/officeDocument/2006/relationships/hyperlink" Target="https://www.screener.in/people/353/hdfc-life-insurance-company-limited/" TargetMode="External"/><Relationship Id="rId20" Type="http://schemas.openxmlformats.org/officeDocument/2006/relationships/hyperlink" Target="https://www.screener.in/people/129782/sir-ratan-tata-trust-mr-rn-tata-mr-v-singh-mr-v-srinivasan-mr-jn-tata-mr-nn-tata-mr-mehli-mistry-mr-jehangir-hc-jehangir/" TargetMode="External"/><Relationship Id="rId64" Type="http://schemas.openxmlformats.org/officeDocument/2006/relationships/hyperlink" Target="https://www.screener.in/people/45041/general-insurance-corporation-of-india/" TargetMode="External"/><Relationship Id="rId63" Type="http://schemas.openxmlformats.org/officeDocument/2006/relationships/hyperlink" Target="https://www.screener.in/people/72994/franklin-india-equity-advantage-funds/" TargetMode="External"/><Relationship Id="rId22" Type="http://schemas.openxmlformats.org/officeDocument/2006/relationships/hyperlink" Target="https://www.screener.in/people/129783/jrd-tata-trust-mr-r-n-tata-mr-vijay-singh-mr-venu-srinivasan/" TargetMode="External"/><Relationship Id="rId21" Type="http://schemas.openxmlformats.org/officeDocument/2006/relationships/hyperlink" Target="https://www.screener.in/people/129783/jrd-tata-trust-mr-r-n-tata-mr-vijay-singh-mr-venu-srinivasan/" TargetMode="External"/><Relationship Id="rId65" Type="http://schemas.openxmlformats.org/officeDocument/2006/relationships/drawing" Target="../drawings/drawing5.xml"/><Relationship Id="rId24" Type="http://schemas.openxmlformats.org/officeDocument/2006/relationships/hyperlink" Target="https://www.screener.in/people/129783/jrd-tata-trust-mr-r-n-tata-mr-vijay-singh-mr-venu-srinivasan/" TargetMode="External"/><Relationship Id="rId23" Type="http://schemas.openxmlformats.org/officeDocument/2006/relationships/hyperlink" Target="https://www.screener.in/people/129783/jrd-tata-trust-mr-r-n-tata-mr-vijay-singh-mr-venu-srinivasan/" TargetMode="External"/><Relationship Id="rId60" Type="http://schemas.openxmlformats.org/officeDocument/2006/relationships/hyperlink" Target="https://www.screener.in/people/144752/quant-mutual-fund-quant-elss-tax-saver-fund/" TargetMode="External"/><Relationship Id="rId26" Type="http://schemas.openxmlformats.org/officeDocument/2006/relationships/hyperlink" Target="https://www.screener.in/people/145397/tata-motors-finance-limited-formerly-tata-motors-finance-solutions-limited/" TargetMode="External"/><Relationship Id="rId25" Type="http://schemas.openxmlformats.org/officeDocument/2006/relationships/hyperlink" Target="https://www.screener.in/people/145397/tata-motors-finance-limited-formerly-tata-motors-finance-solutions-limited/" TargetMode="External"/><Relationship Id="rId28" Type="http://schemas.openxmlformats.org/officeDocument/2006/relationships/hyperlink" Target="https://www.screener.in/people/145399/tmf-business-services-limited-formerly-tata-motors-finance-limited/" TargetMode="External"/><Relationship Id="rId27" Type="http://schemas.openxmlformats.org/officeDocument/2006/relationships/hyperlink" Target="https://www.screener.in/people/145399/tmf-business-services-limited-formerly-tata-motors-finance-limited/" TargetMode="External"/><Relationship Id="rId29" Type="http://schemas.openxmlformats.org/officeDocument/2006/relationships/hyperlink" Target="https://www.screener.in/people/145400/sir-ratan-tata-trust-mr-r-n-tata-mr-vijay-singh-mr-venu-srinivasan-mr-j-n-tata-mr-n-n-tata-mr-mehli-mistry-mr-jehangir-hc-jehangir-mr-darius-khambata/" TargetMode="External"/><Relationship Id="rId51" Type="http://schemas.openxmlformats.org/officeDocument/2006/relationships/hyperlink" Target="https://www.screener.in/people/72991/icici-prudential-bharat-consumption-funds/" TargetMode="External"/><Relationship Id="rId50" Type="http://schemas.openxmlformats.org/officeDocument/2006/relationships/hyperlink" Target="https://www.screener.in/people/123150/life-insurance-corporation-of-india/" TargetMode="External"/><Relationship Id="rId53" Type="http://schemas.openxmlformats.org/officeDocument/2006/relationships/hyperlink" Target="https://www.screener.in/people/19323/icici-prudential-balanced-fund/" TargetMode="External"/><Relationship Id="rId52" Type="http://schemas.openxmlformats.org/officeDocument/2006/relationships/hyperlink" Target="https://www.screener.in/people/72988/icici-prudential-funds/" TargetMode="External"/><Relationship Id="rId11" Type="http://schemas.openxmlformats.org/officeDocument/2006/relationships/hyperlink" Target="https://www.screener.in/people/72912/j-r-d-tata-trust/" TargetMode="External"/><Relationship Id="rId55" Type="http://schemas.openxmlformats.org/officeDocument/2006/relationships/hyperlink" Target="https://www.screener.in/people/32568/nippon-life-india-trustee-ltd-ac-nippon-india-large-cap-fund/" TargetMode="External"/><Relationship Id="rId10" Type="http://schemas.openxmlformats.org/officeDocument/2006/relationships/hyperlink" Target="https://www.screener.in/people/72369/tata-motors-finance-limited/" TargetMode="External"/><Relationship Id="rId54" Type="http://schemas.openxmlformats.org/officeDocument/2006/relationships/hyperlink" Target="https://www.screener.in/people/427/the-new-india-assurance-company-limited/" TargetMode="External"/><Relationship Id="rId13" Type="http://schemas.openxmlformats.org/officeDocument/2006/relationships/hyperlink" Target="https://www.screener.in/people/72995/sir-ratan-tata-trust-r-n-tatav-srinivasanv-singhj-n-tatar-k-krishna-kumarn-n-tatajehangir-h-c-jehangir/" TargetMode="External"/><Relationship Id="rId57" Type="http://schemas.openxmlformats.org/officeDocument/2006/relationships/hyperlink" Target="https://www.screener.in/people/246/general-insurance-corporation-of-india/" TargetMode="External"/><Relationship Id="rId12" Type="http://schemas.openxmlformats.org/officeDocument/2006/relationships/hyperlink" Target="https://www.screener.in/people/72987/j-r-d-trust/" TargetMode="External"/><Relationship Id="rId56" Type="http://schemas.openxmlformats.org/officeDocument/2006/relationships/hyperlink" Target="https://www.screener.in/people/72993/reliance-capital-trustee-co-ltd-ac-nippon-mutual-funds/" TargetMode="External"/><Relationship Id="rId15" Type="http://schemas.openxmlformats.org/officeDocument/2006/relationships/hyperlink" Target="https://www.screener.in/people/129781/sir-dorabji-tata-trust-mr-rn-tata-mr-v-singh-mr-v-srinivasan-mr-nn-tata-mr-mehli-mistry-mr-pramit-jhaveri/" TargetMode="External"/><Relationship Id="rId59" Type="http://schemas.openxmlformats.org/officeDocument/2006/relationships/hyperlink" Target="https://www.screener.in/people/72990/reliance-capital-trustee-co-ltd-ac-reliance-etf-infra-bees-investment-account/" TargetMode="External"/><Relationship Id="rId14" Type="http://schemas.openxmlformats.org/officeDocument/2006/relationships/hyperlink" Target="https://www.screener.in/people/72996/jrd-tata-trust-r-n-tatav-srinivasanv-singh/" TargetMode="External"/><Relationship Id="rId58" Type="http://schemas.openxmlformats.org/officeDocument/2006/relationships/hyperlink" Target="https://www.screener.in/people/17250/sbi-etf-bse-100/" TargetMode="External"/><Relationship Id="rId17" Type="http://schemas.openxmlformats.org/officeDocument/2006/relationships/hyperlink" Target="https://www.screener.in/people/129781/sir-dorabji-tata-trust-mr-rn-tata-mr-v-singh-mr-v-srinivasan-mr-nn-tata-mr-mehli-mistry-mr-pramit-jhaveri/" TargetMode="External"/><Relationship Id="rId16" Type="http://schemas.openxmlformats.org/officeDocument/2006/relationships/hyperlink" Target="https://www.screener.in/people/129781/sir-dorabji-tata-trust-mr-rn-tata-mr-v-singh-mr-v-srinivasan-mr-nn-tata-mr-mehli-mistry-mr-pramit-jhaveri/" TargetMode="External"/><Relationship Id="rId19" Type="http://schemas.openxmlformats.org/officeDocument/2006/relationships/hyperlink" Target="https://www.screener.in/people/129782/sir-ratan-tata-trust-mr-rn-tata-mr-v-singh-mr-v-srinivasan-mr-jn-tata-mr-nn-tata-mr-mehli-mistry-mr-jehangir-hc-jehangir/" TargetMode="External"/><Relationship Id="rId18" Type="http://schemas.openxmlformats.org/officeDocument/2006/relationships/hyperlink" Target="https://www.screener.in/people/129782/sir-ratan-tata-trust-mr-rn-tata-mr-v-singh-mr-v-srinivasan-mr-jn-tata-mr-nn-tata-mr-mehli-mistry-mr-jehangir-hc-jehangi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company/TATAPOWER/consolidated/"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reener.in/company/TATAPOWER/consolidated/" TargetMode="External"/><Relationship Id="rId2" Type="http://schemas.openxmlformats.org/officeDocument/2006/relationships/hyperlink" Target="https://www.screener.in/company/ADANIPOWER/consolidated/" TargetMode="External"/><Relationship Id="rId3" Type="http://schemas.openxmlformats.org/officeDocument/2006/relationships/hyperlink" Target="https://www.screener.in/company/TORNTPOWER/consolidated/" TargetMode="External"/><Relationship Id="rId4" Type="http://schemas.openxmlformats.org/officeDocument/2006/relationships/hyperlink" Target="https://www.screener.in/company/NTPC/consolidated/" TargetMode="External"/><Relationship Id="rId9" Type="http://schemas.openxmlformats.org/officeDocument/2006/relationships/hyperlink" Target="https://www.screener.in/company/NHPC/consolidated/" TargetMode="External"/><Relationship Id="rId5" Type="http://schemas.openxmlformats.org/officeDocument/2006/relationships/hyperlink" Target="https://www.screener.in/company/POWERGRID/consolidated/" TargetMode="External"/><Relationship Id="rId6" Type="http://schemas.openxmlformats.org/officeDocument/2006/relationships/hyperlink" Target="https://www.screener.in/company/ADANIGREEN/consolidated/" TargetMode="External"/><Relationship Id="rId7" Type="http://schemas.openxmlformats.org/officeDocument/2006/relationships/hyperlink" Target="https://www.screener.in/company/ADANIENSOL/consolidated/" TargetMode="External"/><Relationship Id="rId8" Type="http://schemas.openxmlformats.org/officeDocument/2006/relationships/hyperlink" Target="https://www.screener.in/company/JSWENERGY/consolidated/" TargetMode="External"/><Relationship Id="rId20" Type="http://schemas.openxmlformats.org/officeDocument/2006/relationships/hyperlink" Target="https://www.screener.in/company/ADANIENSOL/consolidated/" TargetMode="External"/><Relationship Id="rId22" Type="http://schemas.openxmlformats.org/officeDocument/2006/relationships/hyperlink" Target="https://www.screener.in/company/NHPC/consolidated/" TargetMode="External"/><Relationship Id="rId21" Type="http://schemas.openxmlformats.org/officeDocument/2006/relationships/hyperlink" Target="https://www.screener.in/company/JSWENERGY/consolidated/" TargetMode="External"/><Relationship Id="rId24" Type="http://schemas.openxmlformats.org/officeDocument/2006/relationships/hyperlink" Target="https://www.screener.in/company/NLCINDIA/consolidated/" TargetMode="External"/><Relationship Id="rId23" Type="http://schemas.openxmlformats.org/officeDocument/2006/relationships/hyperlink" Target="https://www.screener.in/company/SJVN/consolidated/" TargetMode="External"/><Relationship Id="rId26" Type="http://schemas.openxmlformats.org/officeDocument/2006/relationships/hyperlink" Target="https://www.screener.in/company/NAVA/consolidated/" TargetMode="External"/><Relationship Id="rId25" Type="http://schemas.openxmlformats.org/officeDocument/2006/relationships/hyperlink" Target="https://www.screener.in/company/CESC/consolidated/" TargetMode="External"/><Relationship Id="rId27" Type="http://schemas.openxmlformats.org/officeDocument/2006/relationships/drawing" Target="../drawings/drawing16.xml"/><Relationship Id="rId11" Type="http://schemas.openxmlformats.org/officeDocument/2006/relationships/hyperlink" Target="https://www.screener.in/company/NLCINDIA/consolidated/" TargetMode="External"/><Relationship Id="rId10" Type="http://schemas.openxmlformats.org/officeDocument/2006/relationships/hyperlink" Target="https://www.screener.in/company/SJVN/consolidated/" TargetMode="External"/><Relationship Id="rId13" Type="http://schemas.openxmlformats.org/officeDocument/2006/relationships/hyperlink" Target="https://www.screener.in/company/NAVA/consolidated/" TargetMode="External"/><Relationship Id="rId12" Type="http://schemas.openxmlformats.org/officeDocument/2006/relationships/hyperlink" Target="https://www.screener.in/company/CESC/consolidated/" TargetMode="External"/><Relationship Id="rId15" Type="http://schemas.openxmlformats.org/officeDocument/2006/relationships/hyperlink" Target="https://www.screener.in/company/TATAPOWER/consolidated/" TargetMode="External"/><Relationship Id="rId14" Type="http://schemas.openxmlformats.org/officeDocument/2006/relationships/hyperlink" Target="https://www.screener.in/company/TORNTPOWER/consolidated/" TargetMode="External"/><Relationship Id="rId17" Type="http://schemas.openxmlformats.org/officeDocument/2006/relationships/hyperlink" Target="https://www.screener.in/company/NTPC/consolidated/" TargetMode="External"/><Relationship Id="rId16" Type="http://schemas.openxmlformats.org/officeDocument/2006/relationships/hyperlink" Target="https://www.screener.in/company/ADANIPOWER/consolidated/" TargetMode="External"/><Relationship Id="rId19" Type="http://schemas.openxmlformats.org/officeDocument/2006/relationships/hyperlink" Target="https://www.screener.in/company/ADANIGREEN/consolidated/" TargetMode="External"/><Relationship Id="rId18" Type="http://schemas.openxmlformats.org/officeDocument/2006/relationships/hyperlink" Target="https://www.screener.in/company/POWERGRID/consolidated/"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creener.in/"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40.0"/>
    <col customWidth="1" min="5" max="5" width="27.11"/>
    <col customWidth="1" min="6" max="26" width="10.56"/>
  </cols>
  <sheetData>
    <row r="1" ht="15.75" customHeight="1">
      <c r="C1" s="1" t="s">
        <v>0</v>
      </c>
      <c r="D1" s="2"/>
      <c r="E1" s="3"/>
      <c r="F1" s="4" t="s">
        <v>1</v>
      </c>
      <c r="G1" s="2"/>
      <c r="H1" s="2"/>
      <c r="I1" s="2"/>
      <c r="J1" s="2"/>
      <c r="K1" s="2"/>
      <c r="L1" s="3"/>
    </row>
    <row r="2" ht="15.75" customHeight="1"/>
    <row r="3" ht="15.75" customHeight="1"/>
    <row r="4" ht="15.75" customHeight="1">
      <c r="C4" s="5" t="s">
        <v>2</v>
      </c>
      <c r="D4" s="5" t="s">
        <v>3</v>
      </c>
      <c r="E4" s="5" t="s">
        <v>4</v>
      </c>
      <c r="F4" s="6"/>
      <c r="G4" s="7"/>
      <c r="H4" s="7"/>
      <c r="I4" s="7"/>
      <c r="J4" s="7"/>
      <c r="K4" s="7"/>
      <c r="L4" s="8"/>
    </row>
    <row r="5" ht="15.75" customHeight="1">
      <c r="C5" s="5">
        <v>1.0</v>
      </c>
      <c r="D5" s="9" t="s">
        <v>5</v>
      </c>
      <c r="E5" s="10" t="s">
        <v>5</v>
      </c>
      <c r="F5" s="11"/>
      <c r="L5" s="12"/>
    </row>
    <row r="6" ht="15.75" customHeight="1">
      <c r="C6" s="5">
        <v>2.0</v>
      </c>
      <c r="D6" s="9" t="s">
        <v>6</v>
      </c>
      <c r="E6" s="10" t="s">
        <v>7</v>
      </c>
      <c r="F6" s="11"/>
      <c r="L6" s="12"/>
    </row>
    <row r="7" ht="15.75" customHeight="1">
      <c r="C7" s="5">
        <v>3.0</v>
      </c>
      <c r="D7" s="9" t="s">
        <v>8</v>
      </c>
      <c r="E7" s="10" t="s">
        <v>8</v>
      </c>
      <c r="F7" s="11"/>
      <c r="L7" s="12"/>
    </row>
    <row r="8" ht="15.75" customHeight="1">
      <c r="C8" s="5">
        <v>4.0</v>
      </c>
      <c r="D8" s="9" t="s">
        <v>9</v>
      </c>
      <c r="E8" s="10" t="s">
        <v>10</v>
      </c>
      <c r="F8" s="11"/>
      <c r="L8" s="12"/>
    </row>
    <row r="9" ht="15.75" customHeight="1">
      <c r="C9" s="5">
        <v>5.0</v>
      </c>
      <c r="D9" s="9" t="s">
        <v>11</v>
      </c>
      <c r="E9" s="10" t="s">
        <v>12</v>
      </c>
      <c r="F9" s="11"/>
      <c r="L9" s="12"/>
    </row>
    <row r="10" ht="15.75" customHeight="1">
      <c r="C10" s="5">
        <v>6.0</v>
      </c>
      <c r="D10" s="9" t="s">
        <v>13</v>
      </c>
      <c r="E10" s="10" t="s">
        <v>13</v>
      </c>
      <c r="F10" s="11"/>
      <c r="L10" s="12"/>
    </row>
    <row r="11" ht="15.75" customHeight="1">
      <c r="C11" s="5">
        <v>7.0</v>
      </c>
      <c r="D11" s="9" t="s">
        <v>14</v>
      </c>
      <c r="E11" s="10" t="s">
        <v>15</v>
      </c>
      <c r="F11" s="11"/>
      <c r="L11" s="12"/>
    </row>
    <row r="12" ht="15.75" customHeight="1">
      <c r="C12" s="5">
        <v>8.0</v>
      </c>
      <c r="D12" s="9" t="s">
        <v>16</v>
      </c>
      <c r="E12" s="10" t="s">
        <v>17</v>
      </c>
      <c r="F12" s="11"/>
      <c r="L12" s="12"/>
    </row>
    <row r="13" ht="15.75" customHeight="1">
      <c r="C13" s="5">
        <v>9.0</v>
      </c>
      <c r="D13" s="9" t="s">
        <v>18</v>
      </c>
      <c r="E13" s="10" t="s">
        <v>19</v>
      </c>
      <c r="F13" s="11"/>
      <c r="L13" s="12"/>
    </row>
    <row r="14" ht="15.75" customHeight="1">
      <c r="C14" s="5">
        <v>10.0</v>
      </c>
      <c r="D14" s="9" t="s">
        <v>20</v>
      </c>
      <c r="E14" s="10" t="s">
        <v>21</v>
      </c>
      <c r="F14" s="11"/>
      <c r="L14" s="12"/>
    </row>
    <row r="15" ht="15.75" customHeight="1">
      <c r="C15" s="5">
        <v>11.0</v>
      </c>
      <c r="D15" s="9" t="s">
        <v>22</v>
      </c>
      <c r="E15" s="10" t="s">
        <v>23</v>
      </c>
      <c r="F15" s="11"/>
      <c r="L15" s="12"/>
    </row>
    <row r="16" ht="15.75" customHeight="1">
      <c r="C16" s="5">
        <v>12.0</v>
      </c>
      <c r="D16" s="9" t="s">
        <v>24</v>
      </c>
      <c r="E16" s="10" t="s">
        <v>24</v>
      </c>
      <c r="F16" s="11"/>
      <c r="L16" s="12"/>
    </row>
    <row r="17" ht="15.75" customHeight="1">
      <c r="C17" s="5">
        <v>13.0</v>
      </c>
      <c r="D17" s="9" t="s">
        <v>25</v>
      </c>
      <c r="E17" s="10" t="s">
        <v>26</v>
      </c>
      <c r="F17" s="11"/>
      <c r="L17" s="12"/>
    </row>
    <row r="18" ht="15.75" customHeight="1">
      <c r="C18" s="5">
        <v>14.0</v>
      </c>
      <c r="D18" s="9" t="s">
        <v>27</v>
      </c>
      <c r="E18" s="10" t="s">
        <v>28</v>
      </c>
      <c r="F18" s="11"/>
      <c r="L18" s="12"/>
    </row>
    <row r="19" ht="15.75" customHeight="1">
      <c r="C19" s="5">
        <v>15.0</v>
      </c>
      <c r="D19" s="9" t="s">
        <v>29</v>
      </c>
      <c r="E19" s="13" t="s">
        <v>30</v>
      </c>
      <c r="F19" s="11"/>
      <c r="L19" s="12"/>
    </row>
    <row r="20" ht="15.75" customHeight="1">
      <c r="C20" s="5">
        <v>16.0</v>
      </c>
      <c r="D20" s="9" t="s">
        <v>31</v>
      </c>
      <c r="E20" s="10" t="s">
        <v>32</v>
      </c>
      <c r="F20" s="14"/>
      <c r="G20" s="15"/>
      <c r="H20" s="15"/>
      <c r="I20" s="15"/>
      <c r="J20" s="15"/>
      <c r="K20" s="15"/>
      <c r="L2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E1"/>
    <mergeCell ref="F1:L1"/>
    <mergeCell ref="F4:L20"/>
  </mergeCells>
  <hyperlinks>
    <hyperlink display="Balance Sheet" location="'Balance Sheet'!A1" ref="E5"/>
    <hyperlink display="Profit and Loss Statement" location="'Profit and Loss Statement'!A1" ref="E6"/>
    <hyperlink display="Cash Flow Statement" location="'Cash Flow Statement'!A1" ref="E7"/>
    <hyperlink display="Share Holding Pattern " location="'Share Holding Pattern '!A1" ref="E8"/>
    <hyperlink display="Financial ratio " location="'Financial ratio '!A1" ref="E9"/>
    <hyperlink display="Du Pont Analysis" location="'Du Pont Analysis'!A1" ref="E10"/>
    <hyperlink display="Market Return" location="'Market Return'!A1" ref="E11"/>
    <hyperlink display="Beta Calculation using HR" location="'Beta Calculation'!A1" ref="E12"/>
    <hyperlink display="Bottom Up Beta using peers" location="'Bottom_Up(Beta) &amp; Ke'!A1" ref="E13"/>
    <hyperlink display="COE using CAPM" location="'Bottom_Up(Beta) &amp; Ke'!A1" ref="E14"/>
    <hyperlink display="COD using Default Spread" location="Kd!A1" ref="E15"/>
    <hyperlink display="WACC" location="WACC!A1" ref="E16"/>
    <hyperlink display="Data_sheet for growth" location="'Data_sheet for growth'!A1" ref="E17"/>
    <hyperlink display="Growth" location="Growth!A1" ref="E18"/>
    <hyperlink display="Relative Valuation" location="'Relative Valuation'!A1" ref="E19"/>
    <hyperlink display="References" location="References!A1" ref="E2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
    <col customWidth="1" min="2" max="2" width="22.44"/>
    <col customWidth="1" min="3" max="3" width="11.44"/>
    <col customWidth="1" min="4" max="18" width="10.44"/>
    <col customWidth="1" min="19" max="26" width="11.11"/>
  </cols>
  <sheetData>
    <row r="1" ht="15.75" customHeight="1">
      <c r="B1" s="17"/>
      <c r="C1" s="18"/>
      <c r="D1" s="18"/>
      <c r="E1" s="19"/>
    </row>
    <row r="2" ht="15.75" customHeight="1">
      <c r="B2" s="20"/>
      <c r="C2" s="21">
        <v>41699.0</v>
      </c>
      <c r="D2" s="21">
        <v>42064.0</v>
      </c>
      <c r="E2" s="21">
        <v>42430.0</v>
      </c>
      <c r="F2" s="21">
        <v>42795.0</v>
      </c>
      <c r="G2" s="21">
        <v>43160.0</v>
      </c>
      <c r="H2" s="21">
        <v>43525.0</v>
      </c>
      <c r="I2" s="21">
        <v>43891.0</v>
      </c>
      <c r="J2" s="21">
        <v>44256.0</v>
      </c>
      <c r="K2" s="21">
        <v>44621.0</v>
      </c>
      <c r="L2" s="21">
        <v>44986.0</v>
      </c>
      <c r="M2" s="21">
        <v>45352.0</v>
      </c>
      <c r="N2" s="21">
        <v>45717.0</v>
      </c>
    </row>
    <row r="3" ht="15.75" customHeight="1">
      <c r="B3" s="22" t="s">
        <v>33</v>
      </c>
      <c r="C3" s="23">
        <v>237.0</v>
      </c>
      <c r="D3" s="23">
        <v>270.0</v>
      </c>
      <c r="E3" s="23">
        <v>270.0</v>
      </c>
      <c r="F3" s="23">
        <v>270.0</v>
      </c>
      <c r="G3" s="23">
        <v>270.0</v>
      </c>
      <c r="H3" s="23">
        <v>270.0</v>
      </c>
      <c r="I3" s="23">
        <v>270.0</v>
      </c>
      <c r="J3" s="23">
        <v>320.0</v>
      </c>
      <c r="K3" s="23">
        <v>320.0</v>
      </c>
      <c r="L3" s="23">
        <v>320.0</v>
      </c>
      <c r="M3" s="23">
        <v>320.0</v>
      </c>
      <c r="N3" s="23">
        <v>320.0</v>
      </c>
    </row>
    <row r="4" ht="15.75" customHeight="1">
      <c r="B4" s="22" t="s">
        <v>34</v>
      </c>
      <c r="C4" s="24">
        <v>12890.0</v>
      </c>
      <c r="D4" s="24">
        <v>15458.0</v>
      </c>
      <c r="E4" s="24">
        <v>15080.0</v>
      </c>
      <c r="F4" s="24">
        <v>16321.0</v>
      </c>
      <c r="G4" s="24">
        <v>12718.0</v>
      </c>
      <c r="H4" s="24">
        <v>15419.0</v>
      </c>
      <c r="I4" s="24">
        <v>14991.0</v>
      </c>
      <c r="J4" s="24">
        <v>9559.0</v>
      </c>
      <c r="K4" s="24">
        <v>10560.0</v>
      </c>
      <c r="L4" s="24">
        <v>13380.0</v>
      </c>
      <c r="M4" s="24">
        <v>15468.0</v>
      </c>
      <c r="N4" s="24">
        <v>18046.0</v>
      </c>
    </row>
    <row r="5" ht="15.75" customHeight="1">
      <c r="B5" s="22" t="s">
        <v>35</v>
      </c>
      <c r="C5" s="24">
        <v>11080.0</v>
      </c>
      <c r="D5" s="24">
        <v>11037.0</v>
      </c>
      <c r="E5" s="24">
        <v>11229.0</v>
      </c>
      <c r="F5" s="24">
        <v>16504.0</v>
      </c>
      <c r="G5" s="24">
        <v>16571.0</v>
      </c>
      <c r="H5" s="24">
        <v>17453.0</v>
      </c>
      <c r="I5" s="24">
        <v>18081.0</v>
      </c>
      <c r="J5" s="24">
        <v>27210.0</v>
      </c>
      <c r="K5" s="24">
        <v>27567.0</v>
      </c>
      <c r="L5" s="24">
        <v>24920.0</v>
      </c>
      <c r="M5" s="24">
        <v>22613.0</v>
      </c>
      <c r="N5" s="24">
        <v>20066.0</v>
      </c>
    </row>
    <row r="6" ht="15.75" customHeight="1">
      <c r="B6" s="22" t="s">
        <v>36</v>
      </c>
      <c r="C6" s="24">
        <v>7176.0</v>
      </c>
      <c r="D6" s="24">
        <v>8796.0</v>
      </c>
      <c r="E6" s="24">
        <v>8984.0</v>
      </c>
      <c r="F6" s="24">
        <v>8848.0</v>
      </c>
      <c r="G6" s="24">
        <v>8124.0</v>
      </c>
      <c r="H6" s="24">
        <v>8750.0</v>
      </c>
      <c r="I6" s="24">
        <v>9825.0</v>
      </c>
      <c r="J6" s="24">
        <v>16583.0</v>
      </c>
      <c r="K6" s="24">
        <v>18088.0</v>
      </c>
      <c r="L6" s="24">
        <v>11272.0</v>
      </c>
      <c r="M6" s="24">
        <v>13373.0</v>
      </c>
      <c r="N6" s="24">
        <v>12613.0</v>
      </c>
    </row>
    <row r="7" ht="15.75" customHeight="1">
      <c r="B7" s="22" t="s">
        <v>37</v>
      </c>
      <c r="C7" s="24">
        <v>1580.0</v>
      </c>
      <c r="D7" s="24">
        <v>1765.0</v>
      </c>
      <c r="E7" s="24">
        <v>1507.0</v>
      </c>
      <c r="F7" s="24">
        <v>2392.0</v>
      </c>
      <c r="G7" s="24">
        <v>4326.0</v>
      </c>
      <c r="H7" s="24">
        <v>6732.0</v>
      </c>
      <c r="I7" s="24">
        <v>6212.0</v>
      </c>
      <c r="J7" s="24">
        <v>7878.0</v>
      </c>
      <c r="K7" s="24">
        <v>6620.0</v>
      </c>
      <c r="L7" s="24">
        <v>10593.0</v>
      </c>
      <c r="M7" s="24">
        <v>6153.0</v>
      </c>
      <c r="N7" s="24">
        <v>4359.0</v>
      </c>
    </row>
    <row r="8" ht="15.75" customHeight="1">
      <c r="B8" s="22" t="s">
        <v>38</v>
      </c>
      <c r="C8" s="23">
        <v>0.0</v>
      </c>
      <c r="D8" s="23">
        <v>0.0</v>
      </c>
      <c r="E8" s="23">
        <v>0.0</v>
      </c>
      <c r="F8" s="23">
        <v>0.0</v>
      </c>
      <c r="G8" s="23">
        <v>0.0</v>
      </c>
      <c r="H8" s="23">
        <v>0.0</v>
      </c>
      <c r="I8" s="23">
        <v>279.0</v>
      </c>
      <c r="J8" s="24">
        <v>2749.0</v>
      </c>
      <c r="K8" s="24">
        <v>2859.0</v>
      </c>
      <c r="L8" s="24">
        <v>3054.0</v>
      </c>
      <c r="M8" s="24">
        <v>3086.0</v>
      </c>
      <c r="N8" s="24">
        <v>3094.0</v>
      </c>
    </row>
    <row r="9" ht="15.75" customHeight="1">
      <c r="B9" s="22" t="s">
        <v>39</v>
      </c>
      <c r="C9" s="24">
        <v>2325.0</v>
      </c>
      <c r="D9" s="23">
        <v>477.0</v>
      </c>
      <c r="E9" s="23">
        <v>738.0</v>
      </c>
      <c r="F9" s="24">
        <v>5264.0</v>
      </c>
      <c r="G9" s="24">
        <v>4121.0</v>
      </c>
      <c r="H9" s="24">
        <v>1971.0</v>
      </c>
      <c r="I9" s="24">
        <v>1764.0</v>
      </c>
      <c r="J9" s="23">
        <v>0.0</v>
      </c>
      <c r="K9" s="23">
        <v>0.0</v>
      </c>
      <c r="L9" s="23">
        <v>0.0</v>
      </c>
      <c r="M9" s="23">
        <v>0.0</v>
      </c>
      <c r="N9" s="23">
        <v>0.0</v>
      </c>
    </row>
    <row r="10" ht="15.75" customHeight="1">
      <c r="B10" s="22" t="s">
        <v>40</v>
      </c>
      <c r="C10" s="24">
        <v>6331.0</v>
      </c>
      <c r="D10" s="24">
        <v>6796.0</v>
      </c>
      <c r="E10" s="24">
        <v>8035.0</v>
      </c>
      <c r="F10" s="24">
        <v>7737.0</v>
      </c>
      <c r="G10" s="24">
        <v>6942.0</v>
      </c>
      <c r="H10" s="24">
        <v>4992.0</v>
      </c>
      <c r="I10" s="24">
        <v>4274.0</v>
      </c>
      <c r="J10" s="24">
        <v>7367.0</v>
      </c>
      <c r="K10" s="24">
        <v>8706.0</v>
      </c>
      <c r="L10" s="24">
        <v>9553.0</v>
      </c>
      <c r="M10" s="24">
        <v>12089.0</v>
      </c>
      <c r="N10" s="24">
        <v>14213.0</v>
      </c>
    </row>
    <row r="11" ht="15.75" customHeight="1">
      <c r="B11" s="22" t="s">
        <v>41</v>
      </c>
      <c r="C11" s="24">
        <v>1058.0</v>
      </c>
      <c r="D11" s="24">
        <v>1305.0</v>
      </c>
      <c r="E11" s="24">
        <v>1263.0</v>
      </c>
      <c r="F11" s="24">
        <v>1346.0</v>
      </c>
      <c r="G11" s="24">
        <v>1106.0</v>
      </c>
      <c r="H11" s="24">
        <v>1102.0</v>
      </c>
      <c r="I11" s="24">
        <v>1002.0</v>
      </c>
      <c r="J11" s="24">
        <v>3282.0</v>
      </c>
      <c r="K11" s="24">
        <v>4080.0</v>
      </c>
      <c r="L11" s="24">
        <v>1985.0</v>
      </c>
      <c r="M11" s="24">
        <v>6485.0</v>
      </c>
      <c r="N11" s="24">
        <v>8118.0</v>
      </c>
    </row>
    <row r="12" ht="15.75" customHeight="1">
      <c r="B12" s="22" t="s">
        <v>42</v>
      </c>
      <c r="C12" s="23">
        <v>449.0</v>
      </c>
      <c r="D12" s="23">
        <v>244.0</v>
      </c>
      <c r="E12" s="23">
        <v>121.0</v>
      </c>
      <c r="F12" s="23">
        <v>158.0</v>
      </c>
      <c r="G12" s="23">
        <v>213.0</v>
      </c>
      <c r="H12" s="23">
        <v>117.0</v>
      </c>
      <c r="I12" s="23">
        <v>150.0</v>
      </c>
      <c r="J12" s="23">
        <v>178.0</v>
      </c>
      <c r="K12" s="23">
        <v>152.0</v>
      </c>
      <c r="L12" s="23">
        <v>191.0</v>
      </c>
      <c r="M12" s="23">
        <v>140.0</v>
      </c>
      <c r="N12" s="23">
        <v>160.0</v>
      </c>
    </row>
    <row r="13" ht="15.75" customHeight="1">
      <c r="B13" s="22" t="s">
        <v>43</v>
      </c>
      <c r="C13" s="24">
        <v>4825.0</v>
      </c>
      <c r="D13" s="24">
        <v>5248.0</v>
      </c>
      <c r="E13" s="24">
        <v>6651.0</v>
      </c>
      <c r="F13" s="24">
        <v>6232.0</v>
      </c>
      <c r="G13" s="24">
        <v>5624.0</v>
      </c>
      <c r="H13" s="24">
        <v>3773.0</v>
      </c>
      <c r="I13" s="24">
        <v>3122.0</v>
      </c>
      <c r="J13" s="24">
        <v>3907.0</v>
      </c>
      <c r="K13" s="24">
        <v>4474.0</v>
      </c>
      <c r="L13" s="24">
        <v>7377.0</v>
      </c>
      <c r="M13" s="24">
        <v>5465.0</v>
      </c>
      <c r="N13" s="24">
        <v>5936.0</v>
      </c>
    </row>
    <row r="14" ht="15.75" customHeight="1">
      <c r="B14" s="22" t="s">
        <v>44</v>
      </c>
      <c r="C14" s="24">
        <v>30539.0</v>
      </c>
      <c r="D14" s="24">
        <v>33561.0</v>
      </c>
      <c r="E14" s="24">
        <v>34615.0</v>
      </c>
      <c r="F14" s="24">
        <v>40832.0</v>
      </c>
      <c r="G14" s="24">
        <v>36502.0</v>
      </c>
      <c r="H14" s="24">
        <v>38135.0</v>
      </c>
      <c r="I14" s="24">
        <v>37616.0</v>
      </c>
      <c r="J14" s="24">
        <v>44456.0</v>
      </c>
      <c r="K14" s="24">
        <v>47153.0</v>
      </c>
      <c r="L14" s="24">
        <v>48173.0</v>
      </c>
      <c r="M14" s="24">
        <v>50489.0</v>
      </c>
      <c r="N14" s="24">
        <v>52645.0</v>
      </c>
    </row>
    <row r="15" ht="15.75" customHeight="1">
      <c r="B15" s="22" t="s">
        <v>45</v>
      </c>
      <c r="C15" s="24">
        <v>8599.0</v>
      </c>
      <c r="D15" s="24">
        <v>9601.0</v>
      </c>
      <c r="E15" s="24">
        <v>8392.0</v>
      </c>
      <c r="F15" s="24">
        <v>8549.0</v>
      </c>
      <c r="G15" s="24">
        <v>7967.0</v>
      </c>
      <c r="H15" s="24">
        <v>7630.0</v>
      </c>
      <c r="I15" s="24">
        <v>8036.0</v>
      </c>
      <c r="J15" s="24">
        <v>24494.0</v>
      </c>
      <c r="K15" s="24">
        <v>23746.0</v>
      </c>
      <c r="L15" s="24">
        <v>23722.0</v>
      </c>
      <c r="M15" s="24">
        <v>23542.0</v>
      </c>
      <c r="N15" s="24">
        <v>23363.0</v>
      </c>
    </row>
    <row r="16" ht="15.75" customHeight="1">
      <c r="B16" s="22" t="s">
        <v>46</v>
      </c>
      <c r="C16" s="23">
        <v>666.0</v>
      </c>
      <c r="D16" s="23">
        <v>971.0</v>
      </c>
      <c r="E16" s="23">
        <v>342.0</v>
      </c>
      <c r="F16" s="23">
        <v>521.0</v>
      </c>
      <c r="G16" s="23">
        <v>371.0</v>
      </c>
      <c r="H16" s="23">
        <v>144.0</v>
      </c>
      <c r="I16" s="23">
        <v>538.0</v>
      </c>
      <c r="J16" s="24">
        <v>1018.0</v>
      </c>
      <c r="K16" s="23">
        <v>982.0</v>
      </c>
      <c r="L16" s="23">
        <v>978.0</v>
      </c>
      <c r="M16" s="23">
        <v>981.0</v>
      </c>
      <c r="N16" s="23">
        <v>981.0</v>
      </c>
    </row>
    <row r="17" ht="15.75" customHeight="1">
      <c r="B17" s="22" t="s">
        <v>47</v>
      </c>
      <c r="C17" s="24">
        <v>1131.0</v>
      </c>
      <c r="D17" s="24">
        <v>1226.0</v>
      </c>
      <c r="E17" s="24">
        <v>1061.0</v>
      </c>
      <c r="F17" s="24">
        <v>1104.0</v>
      </c>
      <c r="G17" s="24">
        <v>1116.0</v>
      </c>
      <c r="H17" s="24">
        <v>1154.0</v>
      </c>
      <c r="I17" s="24">
        <v>1241.0</v>
      </c>
      <c r="J17" s="24">
        <v>2154.0</v>
      </c>
      <c r="K17" s="24">
        <v>2207.0</v>
      </c>
      <c r="L17" s="24">
        <v>2262.0</v>
      </c>
      <c r="M17" s="24">
        <v>2296.0</v>
      </c>
      <c r="N17" s="24">
        <v>2380.0</v>
      </c>
    </row>
    <row r="18" ht="15.75" customHeight="1">
      <c r="B18" s="22" t="s">
        <v>48</v>
      </c>
      <c r="C18" s="24">
        <v>10068.0</v>
      </c>
      <c r="D18" s="24">
        <v>10639.0</v>
      </c>
      <c r="E18" s="24">
        <v>9143.0</v>
      </c>
      <c r="F18" s="24">
        <v>9347.0</v>
      </c>
      <c r="G18" s="24">
        <v>9439.0</v>
      </c>
      <c r="H18" s="24">
        <v>9583.0</v>
      </c>
      <c r="I18" s="24">
        <v>9908.0</v>
      </c>
      <c r="J18" s="24">
        <v>27091.0</v>
      </c>
      <c r="K18" s="24">
        <v>25546.0</v>
      </c>
      <c r="L18" s="24">
        <v>25622.0</v>
      </c>
      <c r="M18" s="24">
        <v>25571.0</v>
      </c>
      <c r="N18" s="24">
        <v>25733.0</v>
      </c>
    </row>
    <row r="19" ht="15.75" customHeight="1">
      <c r="B19" s="22" t="s">
        <v>49</v>
      </c>
      <c r="C19" s="24">
        <v>2042.0</v>
      </c>
      <c r="D19" s="24">
        <v>2465.0</v>
      </c>
      <c r="E19" s="24">
        <v>2634.0</v>
      </c>
      <c r="F19" s="24">
        <v>2818.0</v>
      </c>
      <c r="G19" s="24">
        <v>2991.0</v>
      </c>
      <c r="H19" s="24">
        <v>3190.0</v>
      </c>
      <c r="I19" s="24">
        <v>3440.0</v>
      </c>
      <c r="J19" s="24">
        <v>3813.0</v>
      </c>
      <c r="K19" s="23">
        <v>33.0</v>
      </c>
      <c r="L19" s="23">
        <v>32.0</v>
      </c>
      <c r="M19" s="23">
        <v>34.0</v>
      </c>
      <c r="N19" s="23">
        <v>34.0</v>
      </c>
    </row>
    <row r="20" ht="15.75" customHeight="1">
      <c r="B20" s="22" t="s">
        <v>50</v>
      </c>
      <c r="C20" s="23">
        <v>63.0</v>
      </c>
      <c r="D20" s="23">
        <v>74.0</v>
      </c>
      <c r="E20" s="23">
        <v>76.0</v>
      </c>
      <c r="F20" s="23">
        <v>79.0</v>
      </c>
      <c r="G20" s="23">
        <v>68.0</v>
      </c>
      <c r="H20" s="23">
        <v>65.0</v>
      </c>
      <c r="I20" s="23">
        <v>62.0</v>
      </c>
      <c r="J20" s="23">
        <v>81.0</v>
      </c>
      <c r="K20" s="23">
        <v>81.0</v>
      </c>
      <c r="L20" s="23">
        <v>83.0</v>
      </c>
      <c r="M20" s="23">
        <v>83.0</v>
      </c>
      <c r="N20" s="23">
        <v>82.0</v>
      </c>
    </row>
    <row r="21" ht="15.75" customHeight="1">
      <c r="B21" s="22" t="s">
        <v>51</v>
      </c>
      <c r="C21" s="23">
        <v>52.0</v>
      </c>
      <c r="D21" s="23">
        <v>52.0</v>
      </c>
      <c r="E21" s="23">
        <v>45.0</v>
      </c>
      <c r="F21" s="23">
        <v>46.0</v>
      </c>
      <c r="G21" s="23">
        <v>47.0</v>
      </c>
      <c r="H21" s="23">
        <v>47.0</v>
      </c>
      <c r="I21" s="23">
        <v>47.0</v>
      </c>
      <c r="J21" s="23">
        <v>0.0</v>
      </c>
      <c r="K21" s="23">
        <v>0.0</v>
      </c>
      <c r="L21" s="23">
        <v>0.0</v>
      </c>
      <c r="M21" s="23">
        <v>0.0</v>
      </c>
      <c r="N21" s="23">
        <v>0.0</v>
      </c>
    </row>
    <row r="22" ht="15.75" customHeight="1">
      <c r="B22" s="22" t="s">
        <v>52</v>
      </c>
      <c r="C22" s="23">
        <v>193.0</v>
      </c>
      <c r="D22" s="23">
        <v>83.0</v>
      </c>
      <c r="E22" s="23">
        <v>166.0</v>
      </c>
      <c r="F22" s="23">
        <v>167.0</v>
      </c>
      <c r="G22" s="23">
        <v>190.0</v>
      </c>
      <c r="H22" s="23">
        <v>186.0</v>
      </c>
      <c r="I22" s="23">
        <v>178.0</v>
      </c>
      <c r="J22" s="23">
        <v>186.0</v>
      </c>
      <c r="K22" s="23">
        <v>178.0</v>
      </c>
      <c r="L22" s="23">
        <v>187.0</v>
      </c>
      <c r="M22" s="23">
        <v>209.0</v>
      </c>
      <c r="N22" s="23">
        <v>221.0</v>
      </c>
    </row>
    <row r="23" ht="15.75" customHeight="1">
      <c r="B23" s="22" t="s">
        <v>53</v>
      </c>
      <c r="C23" s="23">
        <v>37.0</v>
      </c>
      <c r="D23" s="23">
        <v>55.0</v>
      </c>
      <c r="E23" s="23">
        <v>69.0</v>
      </c>
      <c r="F23" s="23">
        <v>104.0</v>
      </c>
      <c r="G23" s="23">
        <v>1.0</v>
      </c>
      <c r="H23" s="23">
        <v>1.0</v>
      </c>
      <c r="I23" s="23">
        <v>1.0</v>
      </c>
      <c r="J23" s="23">
        <v>1.0</v>
      </c>
      <c r="K23" s="23">
        <v>1.0</v>
      </c>
      <c r="L23" s="23">
        <v>1.0</v>
      </c>
      <c r="M23" s="23">
        <v>0.0</v>
      </c>
      <c r="N23" s="23">
        <v>0.0</v>
      </c>
    </row>
    <row r="24" ht="15.75" customHeight="1">
      <c r="B24" s="22" t="s">
        <v>54</v>
      </c>
      <c r="C24" s="23">
        <v>580.0</v>
      </c>
      <c r="D24" s="23">
        <v>765.0</v>
      </c>
      <c r="E24" s="23">
        <v>683.0</v>
      </c>
      <c r="F24" s="23">
        <v>751.0</v>
      </c>
      <c r="G24" s="23">
        <v>742.0</v>
      </c>
      <c r="H24" s="23">
        <v>770.0</v>
      </c>
      <c r="I24" s="23">
        <v>786.0</v>
      </c>
      <c r="J24" s="24">
        <v>3244.0</v>
      </c>
      <c r="K24" s="24">
        <v>7396.0</v>
      </c>
      <c r="L24" s="24">
        <v>8166.0</v>
      </c>
      <c r="M24" s="24">
        <v>8790.0</v>
      </c>
      <c r="N24" s="24">
        <v>9153.0</v>
      </c>
    </row>
    <row r="25" ht="15.75" customHeight="1">
      <c r="B25" s="22" t="s">
        <v>55</v>
      </c>
      <c r="C25" s="24">
        <v>14832.0</v>
      </c>
      <c r="D25" s="24">
        <v>16330.0</v>
      </c>
      <c r="E25" s="24">
        <v>14218.0</v>
      </c>
      <c r="F25" s="24">
        <v>14938.0</v>
      </c>
      <c r="G25" s="24">
        <v>14964.0</v>
      </c>
      <c r="H25" s="24">
        <v>15140.0</v>
      </c>
      <c r="I25" s="24">
        <v>16201.0</v>
      </c>
      <c r="J25" s="24">
        <v>37588.0</v>
      </c>
      <c r="K25" s="24">
        <v>36423.0</v>
      </c>
      <c r="L25" s="24">
        <v>37331.0</v>
      </c>
      <c r="M25" s="24">
        <v>37964.0</v>
      </c>
      <c r="N25" s="24">
        <v>38585.0</v>
      </c>
    </row>
    <row r="26" ht="15.75" customHeight="1">
      <c r="B26" s="22" t="s">
        <v>56</v>
      </c>
      <c r="C26" s="24">
        <v>6233.0</v>
      </c>
      <c r="D26" s="24">
        <v>6729.0</v>
      </c>
      <c r="E26" s="24">
        <v>5826.0</v>
      </c>
      <c r="F26" s="24">
        <v>6389.0</v>
      </c>
      <c r="G26" s="24">
        <v>6998.0</v>
      </c>
      <c r="H26" s="24">
        <v>7510.0</v>
      </c>
      <c r="I26" s="24">
        <v>8165.0</v>
      </c>
      <c r="J26" s="24">
        <v>13094.0</v>
      </c>
      <c r="K26" s="24">
        <v>12677.0</v>
      </c>
      <c r="L26" s="24">
        <v>13609.0</v>
      </c>
      <c r="M26" s="24">
        <v>14422.0</v>
      </c>
      <c r="N26" s="24">
        <v>15222.0</v>
      </c>
    </row>
    <row r="27" ht="15.75" customHeight="1">
      <c r="B27" s="22" t="s">
        <v>57</v>
      </c>
      <c r="C27" s="23">
        <v>775.0</v>
      </c>
      <c r="D27" s="23">
        <v>549.0</v>
      </c>
      <c r="E27" s="23">
        <v>695.0</v>
      </c>
      <c r="F27" s="23">
        <v>921.0</v>
      </c>
      <c r="G27" s="23">
        <v>419.0</v>
      </c>
      <c r="H27" s="23">
        <v>368.0</v>
      </c>
      <c r="I27" s="23">
        <v>403.0</v>
      </c>
      <c r="J27" s="23">
        <v>322.0</v>
      </c>
      <c r="K27" s="23">
        <v>965.0</v>
      </c>
      <c r="L27" s="24">
        <v>1273.0</v>
      </c>
      <c r="M27" s="24">
        <v>1799.0</v>
      </c>
      <c r="N27" s="24">
        <v>2248.0</v>
      </c>
    </row>
    <row r="28" ht="15.75" customHeight="1">
      <c r="B28" s="22" t="s">
        <v>58</v>
      </c>
      <c r="C28" s="24">
        <v>12362.0</v>
      </c>
      <c r="D28" s="24">
        <v>13251.0</v>
      </c>
      <c r="E28" s="24">
        <v>14032.0</v>
      </c>
      <c r="F28" s="24">
        <v>22470.0</v>
      </c>
      <c r="G28" s="24">
        <v>18392.0</v>
      </c>
      <c r="H28" s="24">
        <v>21313.0</v>
      </c>
      <c r="I28" s="24">
        <v>21347.0</v>
      </c>
      <c r="J28" s="24">
        <v>10208.0</v>
      </c>
      <c r="K28" s="24">
        <v>10779.0</v>
      </c>
      <c r="L28" s="24">
        <v>12129.0</v>
      </c>
      <c r="M28" s="24">
        <v>13406.0</v>
      </c>
      <c r="N28" s="24">
        <v>14256.0</v>
      </c>
    </row>
    <row r="29" ht="15.75" customHeight="1">
      <c r="B29" s="22" t="s">
        <v>59</v>
      </c>
      <c r="C29" s="24">
        <v>8803.0</v>
      </c>
      <c r="D29" s="24">
        <v>10161.0</v>
      </c>
      <c r="E29" s="24">
        <v>11495.0</v>
      </c>
      <c r="F29" s="24">
        <v>8892.0</v>
      </c>
      <c r="G29" s="24">
        <v>9724.0</v>
      </c>
      <c r="H29" s="24">
        <v>8824.0</v>
      </c>
      <c r="I29" s="24">
        <v>7830.0</v>
      </c>
      <c r="J29" s="24">
        <v>9431.0</v>
      </c>
      <c r="K29" s="24">
        <v>11663.0</v>
      </c>
      <c r="L29" s="24">
        <v>11049.0</v>
      </c>
      <c r="M29" s="24">
        <v>11742.0</v>
      </c>
      <c r="N29" s="24">
        <v>12778.0</v>
      </c>
    </row>
    <row r="30" ht="15.75" customHeight="1">
      <c r="B30" s="22" t="s">
        <v>60</v>
      </c>
      <c r="C30" s="23">
        <v>711.0</v>
      </c>
      <c r="D30" s="23">
        <v>669.0</v>
      </c>
      <c r="E30" s="23">
        <v>689.0</v>
      </c>
      <c r="F30" s="23">
        <v>671.0</v>
      </c>
      <c r="G30" s="23">
        <v>474.0</v>
      </c>
      <c r="H30" s="23">
        <v>580.0</v>
      </c>
      <c r="I30" s="23">
        <v>635.0</v>
      </c>
      <c r="J30" s="24">
        <v>1181.0</v>
      </c>
      <c r="K30" s="24">
        <v>2292.0</v>
      </c>
      <c r="L30" s="24">
        <v>2458.0</v>
      </c>
      <c r="M30" s="24">
        <v>2120.0</v>
      </c>
      <c r="N30" s="24">
        <v>2424.0</v>
      </c>
    </row>
    <row r="31" ht="15.75" customHeight="1">
      <c r="B31" s="22" t="s">
        <v>61</v>
      </c>
      <c r="C31" s="24">
        <v>1320.0</v>
      </c>
      <c r="D31" s="24">
        <v>1576.0</v>
      </c>
      <c r="E31" s="24">
        <v>1057.0</v>
      </c>
      <c r="F31" s="24">
        <v>1235.0</v>
      </c>
      <c r="G31" s="23">
        <v>972.0</v>
      </c>
      <c r="H31" s="24">
        <v>1256.0</v>
      </c>
      <c r="I31" s="24">
        <v>1109.0</v>
      </c>
      <c r="J31" s="24">
        <v>1580.0</v>
      </c>
      <c r="K31" s="24">
        <v>1027.0</v>
      </c>
      <c r="L31" s="24">
        <v>1904.0</v>
      </c>
      <c r="M31" s="24">
        <v>1582.0</v>
      </c>
      <c r="N31" s="24">
        <v>1514.0</v>
      </c>
    </row>
    <row r="32" ht="15.75" customHeight="1">
      <c r="B32" s="22" t="s">
        <v>62</v>
      </c>
      <c r="C32" s="23">
        <v>68.0</v>
      </c>
      <c r="D32" s="23">
        <v>279.0</v>
      </c>
      <c r="E32" s="23">
        <v>46.0</v>
      </c>
      <c r="F32" s="23">
        <v>156.0</v>
      </c>
      <c r="G32" s="23">
        <v>58.0</v>
      </c>
      <c r="H32" s="23">
        <v>96.0</v>
      </c>
      <c r="I32" s="23">
        <v>179.0</v>
      </c>
      <c r="J32" s="23">
        <v>383.0</v>
      </c>
      <c r="K32" s="23">
        <v>79.0</v>
      </c>
      <c r="L32" s="23">
        <v>296.0</v>
      </c>
      <c r="M32" s="23">
        <v>619.0</v>
      </c>
      <c r="N32" s="24">
        <v>1533.0</v>
      </c>
    </row>
    <row r="33" ht="15.75" customHeight="1">
      <c r="B33" s="22" t="s">
        <v>63</v>
      </c>
      <c r="C33" s="23">
        <v>690.0</v>
      </c>
      <c r="D33" s="23">
        <v>296.0</v>
      </c>
      <c r="E33" s="23">
        <v>331.0</v>
      </c>
      <c r="F33" s="23">
        <v>248.0</v>
      </c>
      <c r="G33" s="23">
        <v>595.0</v>
      </c>
      <c r="H33" s="23">
        <v>299.0</v>
      </c>
      <c r="I33" s="23">
        <v>717.0</v>
      </c>
      <c r="J33" s="24">
        <v>1522.0</v>
      </c>
      <c r="K33" s="24">
        <v>1448.0</v>
      </c>
      <c r="L33" s="23">
        <v>165.0</v>
      </c>
      <c r="M33" s="23">
        <v>226.0</v>
      </c>
      <c r="N33" s="23">
        <v>295.0</v>
      </c>
    </row>
    <row r="34" ht="15.75" customHeight="1">
      <c r="B34" s="22" t="s">
        <v>64</v>
      </c>
      <c r="C34" s="24">
        <v>6014.0</v>
      </c>
      <c r="D34" s="24">
        <v>7340.0</v>
      </c>
      <c r="E34" s="24">
        <v>9372.0</v>
      </c>
      <c r="F34" s="24">
        <v>6581.0</v>
      </c>
      <c r="G34" s="24">
        <v>7624.0</v>
      </c>
      <c r="H34" s="24">
        <v>6593.0</v>
      </c>
      <c r="I34" s="24">
        <v>5191.0</v>
      </c>
      <c r="J34" s="24">
        <v>4765.0</v>
      </c>
      <c r="K34" s="24">
        <v>6818.0</v>
      </c>
      <c r="L34" s="24">
        <v>6226.0</v>
      </c>
      <c r="M34" s="24">
        <v>7196.0</v>
      </c>
      <c r="N34" s="24">
        <v>7012.0</v>
      </c>
    </row>
    <row r="35" ht="15.75" customHeight="1">
      <c r="B35" s="22" t="s">
        <v>65</v>
      </c>
      <c r="C35" s="25">
        <f>C31</f>
        <v>1320</v>
      </c>
      <c r="D35" s="26">
        <f t="shared" ref="D35:N35" si="1">(D31+C31)/2</f>
        <v>1448</v>
      </c>
      <c r="E35" s="26">
        <f t="shared" si="1"/>
        <v>1316.5</v>
      </c>
      <c r="F35" s="26">
        <f t="shared" si="1"/>
        <v>1146</v>
      </c>
      <c r="G35" s="26">
        <f t="shared" si="1"/>
        <v>1103.5</v>
      </c>
      <c r="H35" s="26">
        <f t="shared" si="1"/>
        <v>1114</v>
      </c>
      <c r="I35" s="26">
        <f t="shared" si="1"/>
        <v>1182.5</v>
      </c>
      <c r="J35" s="26">
        <f t="shared" si="1"/>
        <v>1344.5</v>
      </c>
      <c r="K35" s="26">
        <f t="shared" si="1"/>
        <v>1303.5</v>
      </c>
      <c r="L35" s="26">
        <f t="shared" si="1"/>
        <v>1465.5</v>
      </c>
      <c r="M35" s="26">
        <f t="shared" si="1"/>
        <v>1743</v>
      </c>
      <c r="N35" s="26">
        <f t="shared" si="1"/>
        <v>1548</v>
      </c>
    </row>
    <row r="36" ht="15.75" customHeight="1">
      <c r="B36" s="22" t="s">
        <v>66</v>
      </c>
      <c r="C36" s="24">
        <v>30539.0</v>
      </c>
      <c r="D36" s="24">
        <v>33561.0</v>
      </c>
      <c r="E36" s="24">
        <v>34615.0</v>
      </c>
      <c r="F36" s="24">
        <v>40832.0</v>
      </c>
      <c r="G36" s="24">
        <v>36502.0</v>
      </c>
      <c r="H36" s="24">
        <v>38135.0</v>
      </c>
      <c r="I36" s="24">
        <v>37616.0</v>
      </c>
      <c r="J36" s="24">
        <v>44456.0</v>
      </c>
      <c r="K36" s="24">
        <v>47153.0</v>
      </c>
      <c r="L36" s="24">
        <v>48173.0</v>
      </c>
      <c r="M36" s="24">
        <v>50489.0</v>
      </c>
      <c r="N36" s="24">
        <v>52645.0</v>
      </c>
    </row>
    <row r="37" ht="15.75" customHeight="1">
      <c r="B37" s="27" t="s">
        <v>67</v>
      </c>
      <c r="C37" s="25">
        <f>C36</f>
        <v>30539</v>
      </c>
      <c r="D37" s="26">
        <f t="shared" ref="D37:N37" si="2">(D36+C36)/2</f>
        <v>32050</v>
      </c>
      <c r="E37" s="26">
        <f t="shared" si="2"/>
        <v>34088</v>
      </c>
      <c r="F37" s="26">
        <f t="shared" si="2"/>
        <v>37723.5</v>
      </c>
      <c r="G37" s="26">
        <f t="shared" si="2"/>
        <v>38667</v>
      </c>
      <c r="H37" s="26">
        <f t="shared" si="2"/>
        <v>37318.5</v>
      </c>
      <c r="I37" s="26">
        <f t="shared" si="2"/>
        <v>37875.5</v>
      </c>
      <c r="J37" s="26">
        <f t="shared" si="2"/>
        <v>41036</v>
      </c>
      <c r="K37" s="26">
        <f t="shared" si="2"/>
        <v>45804.5</v>
      </c>
      <c r="L37" s="26">
        <f t="shared" si="2"/>
        <v>47663</v>
      </c>
      <c r="M37" s="26">
        <f t="shared" si="2"/>
        <v>49331</v>
      </c>
      <c r="N37" s="26">
        <f t="shared" si="2"/>
        <v>51567</v>
      </c>
    </row>
    <row r="38" ht="15.75" customHeight="1">
      <c r="B38" s="28" t="s">
        <v>68</v>
      </c>
      <c r="C38" s="29">
        <f>C30</f>
        <v>711</v>
      </c>
      <c r="D38" s="29">
        <f t="shared" ref="D38:N38" si="3">(D30+C30)/2</f>
        <v>690</v>
      </c>
      <c r="E38" s="29">
        <f t="shared" si="3"/>
        <v>679</v>
      </c>
      <c r="F38" s="29">
        <f t="shared" si="3"/>
        <v>680</v>
      </c>
      <c r="G38" s="29">
        <f t="shared" si="3"/>
        <v>572.5</v>
      </c>
      <c r="H38" s="29">
        <f t="shared" si="3"/>
        <v>527</v>
      </c>
      <c r="I38" s="29">
        <f t="shared" si="3"/>
        <v>607.5</v>
      </c>
      <c r="J38" s="29">
        <f t="shared" si="3"/>
        <v>908</v>
      </c>
      <c r="K38" s="29">
        <f t="shared" si="3"/>
        <v>1736.5</v>
      </c>
      <c r="L38" s="29">
        <f t="shared" si="3"/>
        <v>2375</v>
      </c>
      <c r="M38" s="29">
        <f t="shared" si="3"/>
        <v>2289</v>
      </c>
      <c r="N38" s="29">
        <f t="shared" si="3"/>
        <v>2272</v>
      </c>
    </row>
    <row r="39" ht="15.75" customHeight="1"/>
    <row r="40" ht="15.75" customHeight="1"/>
    <row r="41" ht="15.75" customHeight="1"/>
    <row r="42" ht="15.75" customHeight="1">
      <c r="B42" s="30"/>
    </row>
    <row r="43" ht="15.75" customHeight="1"/>
    <row r="44" ht="15.75" customHeight="1"/>
    <row r="45" ht="15.75" customHeight="1">
      <c r="C45" s="30"/>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25.78"/>
    <col customWidth="1" min="3" max="18" width="10.44"/>
    <col customWidth="1" min="19" max="26" width="11.11"/>
  </cols>
  <sheetData>
    <row r="1" ht="15.75" customHeight="1">
      <c r="B1" s="17"/>
      <c r="C1" s="18"/>
      <c r="D1" s="18"/>
      <c r="E1" s="19"/>
    </row>
    <row r="2" ht="15.75" customHeight="1">
      <c r="B2" s="31"/>
      <c r="C2" s="32">
        <v>41699.0</v>
      </c>
      <c r="D2" s="32">
        <v>42064.0</v>
      </c>
      <c r="E2" s="32">
        <v>42430.0</v>
      </c>
      <c r="F2" s="32">
        <v>42795.0</v>
      </c>
      <c r="G2" s="32">
        <v>43160.0</v>
      </c>
      <c r="H2" s="32">
        <v>43525.0</v>
      </c>
      <c r="I2" s="32">
        <v>43891.0</v>
      </c>
      <c r="J2" s="32">
        <v>44256.0</v>
      </c>
      <c r="K2" s="32">
        <v>44621.0</v>
      </c>
      <c r="L2" s="32">
        <v>44986.0</v>
      </c>
      <c r="M2" s="32">
        <v>45352.0</v>
      </c>
      <c r="N2" s="32">
        <v>45717.0</v>
      </c>
    </row>
    <row r="3" ht="15.75" customHeight="1">
      <c r="B3" s="33" t="s">
        <v>69</v>
      </c>
      <c r="C3" s="34">
        <v>8630.0</v>
      </c>
      <c r="D3" s="34">
        <v>8208.0</v>
      </c>
      <c r="E3" s="34">
        <v>8691.0</v>
      </c>
      <c r="F3" s="34">
        <v>6924.0</v>
      </c>
      <c r="G3" s="34">
        <v>7537.0</v>
      </c>
      <c r="H3" s="34">
        <v>8255.0</v>
      </c>
      <c r="I3" s="34">
        <v>7726.0</v>
      </c>
      <c r="J3" s="34">
        <v>13169.0</v>
      </c>
      <c r="K3" s="34">
        <v>11108.0</v>
      </c>
      <c r="L3" s="34">
        <v>17728.0</v>
      </c>
      <c r="M3" s="34">
        <v>20093.0</v>
      </c>
      <c r="N3" s="34">
        <v>22359.0</v>
      </c>
    </row>
    <row r="4" ht="15.75" customHeight="1">
      <c r="B4" s="33" t="s">
        <v>70</v>
      </c>
      <c r="C4" s="35">
        <v>-0.098</v>
      </c>
      <c r="D4" s="35">
        <v>-0.049</v>
      </c>
      <c r="E4" s="35">
        <v>0.0588</v>
      </c>
      <c r="F4" s="35">
        <v>-0.2033</v>
      </c>
      <c r="G4" s="35">
        <v>0.0884</v>
      </c>
      <c r="H4" s="35">
        <v>0.0954</v>
      </c>
      <c r="I4" s="35">
        <v>-0.0641</v>
      </c>
      <c r="J4" s="35">
        <v>0.7045</v>
      </c>
      <c r="K4" s="35">
        <v>-0.1565</v>
      </c>
      <c r="L4" s="35">
        <v>0.596</v>
      </c>
      <c r="M4" s="35">
        <v>0.1334</v>
      </c>
      <c r="N4" s="35">
        <v>0.1128</v>
      </c>
    </row>
    <row r="5" ht="15.75" customHeight="1">
      <c r="B5" s="33" t="s">
        <v>71</v>
      </c>
      <c r="C5" s="34">
        <v>6340.0</v>
      </c>
      <c r="D5" s="34">
        <v>6521.0</v>
      </c>
      <c r="E5" s="34">
        <v>5730.0</v>
      </c>
      <c r="F5" s="34">
        <v>4947.0</v>
      </c>
      <c r="G5" s="34">
        <v>5261.0</v>
      </c>
      <c r="H5" s="34">
        <v>7563.0</v>
      </c>
      <c r="I5" s="34">
        <v>5618.0</v>
      </c>
      <c r="J5" s="34">
        <v>10190.0</v>
      </c>
      <c r="K5" s="34">
        <v>9470.0</v>
      </c>
      <c r="L5" s="34">
        <v>15031.0</v>
      </c>
      <c r="M5" s="34">
        <v>16200.0</v>
      </c>
      <c r="N5" s="34">
        <v>17959.0</v>
      </c>
    </row>
    <row r="6" ht="15.75" customHeight="1">
      <c r="B6" s="33" t="s">
        <v>72</v>
      </c>
      <c r="C6" s="36">
        <v>0.6</v>
      </c>
      <c r="D6" s="36">
        <v>0.67</v>
      </c>
      <c r="E6" s="36">
        <v>0.53</v>
      </c>
      <c r="F6" s="36">
        <v>0.53</v>
      </c>
      <c r="G6" s="36">
        <v>0.54</v>
      </c>
      <c r="H6" s="36">
        <v>0.53</v>
      </c>
      <c r="I6" s="36">
        <v>0.51</v>
      </c>
      <c r="J6" s="36">
        <v>0.71</v>
      </c>
      <c r="K6" s="36">
        <v>0.76</v>
      </c>
      <c r="L6" s="36">
        <v>0.82</v>
      </c>
      <c r="M6" s="36">
        <v>0.74</v>
      </c>
      <c r="N6" s="36">
        <v>0.69</v>
      </c>
    </row>
    <row r="7" ht="15.75" customHeight="1">
      <c r="B7" s="33" t="s">
        <v>73</v>
      </c>
      <c r="C7" s="36">
        <v>0.07</v>
      </c>
      <c r="D7" s="36">
        <v>0.09</v>
      </c>
      <c r="E7" s="36">
        <v>0.09</v>
      </c>
      <c r="F7" s="36">
        <v>0.1</v>
      </c>
      <c r="G7" s="36">
        <v>0.09</v>
      </c>
      <c r="H7" s="36">
        <v>0.08</v>
      </c>
      <c r="I7" s="36">
        <v>0.08</v>
      </c>
      <c r="J7" s="36">
        <v>0.06</v>
      </c>
      <c r="K7" s="36">
        <v>0.07</v>
      </c>
      <c r="L7" s="36">
        <v>0.04</v>
      </c>
      <c r="M7" s="36">
        <v>0.04</v>
      </c>
      <c r="N7" s="36">
        <v>0.04</v>
      </c>
    </row>
    <row r="8" ht="15.75" customHeight="1">
      <c r="B8" s="33" t="s">
        <v>74</v>
      </c>
      <c r="C8" s="36">
        <v>0.06</v>
      </c>
      <c r="D8" s="36">
        <v>0.03</v>
      </c>
      <c r="E8" s="36">
        <v>0.04</v>
      </c>
      <c r="F8" s="36">
        <v>0.09</v>
      </c>
      <c r="G8" s="36">
        <v>0.07</v>
      </c>
      <c r="H8" s="36">
        <v>0.3</v>
      </c>
      <c r="I8" s="36">
        <v>0.13</v>
      </c>
      <c r="J8" s="36">
        <v>0.0</v>
      </c>
      <c r="K8" s="36">
        <v>0.03</v>
      </c>
      <c r="L8" s="36">
        <v>-0.02</v>
      </c>
      <c r="M8" s="36">
        <v>0.02</v>
      </c>
      <c r="N8" s="36">
        <v>0.08</v>
      </c>
    </row>
    <row r="9" ht="15.75" customHeight="1">
      <c r="B9" s="33" t="s">
        <v>75</v>
      </c>
      <c r="C9" s="34">
        <v>2291.0</v>
      </c>
      <c r="D9" s="34">
        <v>1686.0</v>
      </c>
      <c r="E9" s="34">
        <v>2961.0</v>
      </c>
      <c r="F9" s="34">
        <v>1977.0</v>
      </c>
      <c r="G9" s="34">
        <v>2276.0</v>
      </c>
      <c r="H9" s="37">
        <v>692.0</v>
      </c>
      <c r="I9" s="34">
        <v>2108.0</v>
      </c>
      <c r="J9" s="34">
        <v>2980.0</v>
      </c>
      <c r="K9" s="34">
        <v>1638.0</v>
      </c>
      <c r="L9" s="34">
        <v>2697.0</v>
      </c>
      <c r="M9" s="34">
        <v>3894.0</v>
      </c>
      <c r="N9" s="34">
        <v>4401.0</v>
      </c>
    </row>
    <row r="10" ht="15.75" customHeight="1">
      <c r="B10" s="33" t="s">
        <v>76</v>
      </c>
      <c r="C10" s="36">
        <v>0.27</v>
      </c>
      <c r="D10" s="36">
        <v>0.21</v>
      </c>
      <c r="E10" s="36">
        <v>0.34</v>
      </c>
      <c r="F10" s="36">
        <v>0.29</v>
      </c>
      <c r="G10" s="36">
        <v>0.3</v>
      </c>
      <c r="H10" s="36">
        <v>0.08</v>
      </c>
      <c r="I10" s="36">
        <v>0.27</v>
      </c>
      <c r="J10" s="36">
        <v>0.23</v>
      </c>
      <c r="K10" s="36">
        <v>0.15</v>
      </c>
      <c r="L10" s="36">
        <v>0.15</v>
      </c>
      <c r="M10" s="36">
        <v>0.19</v>
      </c>
      <c r="N10" s="36">
        <v>0.2</v>
      </c>
    </row>
    <row r="11" ht="15.75" customHeight="1">
      <c r="B11" s="33" t="s">
        <v>77</v>
      </c>
      <c r="C11" s="37">
        <v>656.0</v>
      </c>
      <c r="D11" s="34">
        <v>1452.0</v>
      </c>
      <c r="E11" s="37">
        <v>524.0</v>
      </c>
      <c r="F11" s="37">
        <v>465.0</v>
      </c>
      <c r="G11" s="34">
        <v>-3497.0</v>
      </c>
      <c r="H11" s="34">
        <v>3662.0</v>
      </c>
      <c r="I11" s="37">
        <v>28.0</v>
      </c>
      <c r="J11" s="34">
        <v>1146.0</v>
      </c>
      <c r="K11" s="34">
        <v>3975.0</v>
      </c>
      <c r="L11" s="34">
        <v>4808.0</v>
      </c>
      <c r="M11" s="34">
        <v>2063.0</v>
      </c>
      <c r="N11" s="34">
        <v>2504.0</v>
      </c>
    </row>
    <row r="12" ht="15.75" customHeight="1">
      <c r="B12" s="33" t="s">
        <v>78</v>
      </c>
      <c r="C12" s="37">
        <v>20.0</v>
      </c>
      <c r="D12" s="37">
        <v>23.0</v>
      </c>
      <c r="E12" s="37">
        <v>-334.0</v>
      </c>
      <c r="F12" s="37">
        <v>-609.0</v>
      </c>
      <c r="G12" s="34">
        <v>-4427.0</v>
      </c>
      <c r="H12" s="34">
        <v>1560.0</v>
      </c>
      <c r="I12" s="37">
        <v>-528.0</v>
      </c>
      <c r="J12" s="37">
        <v>-73.0</v>
      </c>
      <c r="K12" s="37">
        <v>985.0</v>
      </c>
      <c r="L12" s="37">
        <v>729.0</v>
      </c>
      <c r="M12" s="37">
        <v>69.0</v>
      </c>
      <c r="N12" s="37">
        <v>40.0</v>
      </c>
    </row>
    <row r="13" ht="15.75" customHeight="1">
      <c r="B13" s="33" t="s">
        <v>79</v>
      </c>
      <c r="C13" s="37">
        <v>635.0</v>
      </c>
      <c r="D13" s="34">
        <v>1429.0</v>
      </c>
      <c r="E13" s="37">
        <v>857.0</v>
      </c>
      <c r="F13" s="34">
        <v>1075.0</v>
      </c>
      <c r="G13" s="37">
        <v>929.0</v>
      </c>
      <c r="H13" s="34">
        <v>2102.0</v>
      </c>
      <c r="I13" s="37">
        <v>557.0</v>
      </c>
      <c r="J13" s="34">
        <v>1219.0</v>
      </c>
      <c r="K13" s="34">
        <v>2989.0</v>
      </c>
      <c r="L13" s="34">
        <v>4080.0</v>
      </c>
      <c r="M13" s="34">
        <v>1994.0</v>
      </c>
      <c r="N13" s="34">
        <v>2464.0</v>
      </c>
    </row>
    <row r="14" ht="15.75" customHeight="1">
      <c r="B14" s="33" t="s">
        <v>80</v>
      </c>
      <c r="C14" s="37">
        <v>868.0</v>
      </c>
      <c r="D14" s="34">
        <v>1047.0</v>
      </c>
      <c r="E14" s="34">
        <v>1146.0</v>
      </c>
      <c r="F14" s="34">
        <v>1319.0</v>
      </c>
      <c r="G14" s="34">
        <v>1431.0</v>
      </c>
      <c r="H14" s="34">
        <v>1500.0</v>
      </c>
      <c r="I14" s="34">
        <v>1510.0</v>
      </c>
      <c r="J14" s="34">
        <v>2497.0</v>
      </c>
      <c r="K14" s="34">
        <v>2189.0</v>
      </c>
      <c r="L14" s="34">
        <v>2227.0</v>
      </c>
      <c r="M14" s="34">
        <v>2257.0</v>
      </c>
      <c r="N14" s="34">
        <v>2095.0</v>
      </c>
    </row>
    <row r="15" ht="15.75" customHeight="1">
      <c r="B15" s="33" t="s">
        <v>81</v>
      </c>
      <c r="C15" s="37">
        <v>587.0</v>
      </c>
      <c r="D15" s="37">
        <v>575.0</v>
      </c>
      <c r="E15" s="37">
        <v>604.0</v>
      </c>
      <c r="F15" s="37">
        <v>605.0</v>
      </c>
      <c r="G15" s="37">
        <v>663.0</v>
      </c>
      <c r="H15" s="37">
        <v>633.0</v>
      </c>
      <c r="I15" s="37">
        <v>686.0</v>
      </c>
      <c r="J15" s="34">
        <v>1235.0</v>
      </c>
      <c r="K15" s="34">
        <v>1134.0</v>
      </c>
      <c r="L15" s="34">
        <v>1167.0</v>
      </c>
      <c r="M15" s="34">
        <v>1188.0</v>
      </c>
      <c r="N15" s="34">
        <v>1194.0</v>
      </c>
    </row>
    <row r="16" ht="15.75" customHeight="1">
      <c r="B16" s="33" t="s">
        <v>82</v>
      </c>
      <c r="C16" s="34">
        <v>1491.0</v>
      </c>
      <c r="D16" s="34">
        <v>1516.0</v>
      </c>
      <c r="E16" s="34">
        <v>1734.0</v>
      </c>
      <c r="F16" s="37">
        <v>518.0</v>
      </c>
      <c r="G16" s="34">
        <v>-3316.0</v>
      </c>
      <c r="H16" s="34">
        <v>2221.0</v>
      </c>
      <c r="I16" s="37">
        <v>-60.0</v>
      </c>
      <c r="J16" s="37">
        <v>395.0</v>
      </c>
      <c r="K16" s="34">
        <v>2290.0</v>
      </c>
      <c r="L16" s="34">
        <v>4111.0</v>
      </c>
      <c r="M16" s="34">
        <v>2511.0</v>
      </c>
      <c r="N16" s="34">
        <v>3615.0</v>
      </c>
    </row>
    <row r="17" ht="15.75" customHeight="1">
      <c r="B17" s="33" t="s">
        <v>83</v>
      </c>
      <c r="C17" s="36">
        <v>0.36</v>
      </c>
      <c r="D17" s="36">
        <v>0.33</v>
      </c>
      <c r="E17" s="36">
        <v>0.22</v>
      </c>
      <c r="F17" s="36">
        <v>0.23</v>
      </c>
      <c r="G17" s="36">
        <v>-0.05</v>
      </c>
      <c r="H17" s="36">
        <v>0.2</v>
      </c>
      <c r="I17" s="36">
        <v>-3.48</v>
      </c>
      <c r="J17" s="36">
        <v>0.26</v>
      </c>
      <c r="K17" s="36">
        <v>-0.22</v>
      </c>
      <c r="L17" s="36">
        <v>0.21</v>
      </c>
      <c r="M17" s="36">
        <v>0.11</v>
      </c>
      <c r="N17" s="36">
        <v>0.13</v>
      </c>
    </row>
    <row r="18" ht="15.75" customHeight="1">
      <c r="B18" s="33" t="s">
        <v>84</v>
      </c>
      <c r="C18" s="37">
        <v>954.0</v>
      </c>
      <c r="D18" s="34">
        <v>1010.0</v>
      </c>
      <c r="E18" s="34">
        <v>1355.0</v>
      </c>
      <c r="F18" s="37">
        <v>398.0</v>
      </c>
      <c r="G18" s="34">
        <v>-3151.0</v>
      </c>
      <c r="H18" s="34">
        <v>1769.0</v>
      </c>
      <c r="I18" s="37">
        <v>148.0</v>
      </c>
      <c r="J18" s="37">
        <v>294.0</v>
      </c>
      <c r="K18" s="34">
        <v>2783.0</v>
      </c>
      <c r="L18" s="34">
        <v>3268.0</v>
      </c>
      <c r="M18" s="34">
        <v>2230.0</v>
      </c>
      <c r="N18" s="34">
        <v>3133.0</v>
      </c>
    </row>
    <row r="19" ht="15.75" customHeight="1">
      <c r="B19" s="33" t="s">
        <v>85</v>
      </c>
      <c r="C19" s="37">
        <v>14.0</v>
      </c>
      <c r="D19" s="37">
        <v>15.0</v>
      </c>
      <c r="E19" s="37">
        <v>-247.0</v>
      </c>
      <c r="F19" s="37">
        <v>-345.0</v>
      </c>
      <c r="G19" s="34">
        <v>-4202.0</v>
      </c>
      <c r="H19" s="34">
        <v>1250.0</v>
      </c>
      <c r="I19" s="37">
        <v>-81.0</v>
      </c>
      <c r="J19" s="37">
        <v>-13.0</v>
      </c>
      <c r="K19" s="34">
        <v>1231.0</v>
      </c>
      <c r="L19" s="37">
        <v>554.0</v>
      </c>
      <c r="M19" s="37">
        <v>57.0</v>
      </c>
      <c r="N19" s="37">
        <v>35.0</v>
      </c>
    </row>
    <row r="20" ht="15.75" customHeight="1">
      <c r="B20" s="33" t="s">
        <v>86</v>
      </c>
      <c r="C20" s="37">
        <v>940.0</v>
      </c>
      <c r="D20" s="37">
        <v>995.0</v>
      </c>
      <c r="E20" s="34">
        <v>1602.0</v>
      </c>
      <c r="F20" s="37">
        <v>743.0</v>
      </c>
      <c r="G20" s="34">
        <v>1052.0</v>
      </c>
      <c r="H20" s="37">
        <v>519.0</v>
      </c>
      <c r="I20" s="37">
        <v>229.0</v>
      </c>
      <c r="J20" s="37">
        <v>306.0</v>
      </c>
      <c r="K20" s="34">
        <v>1552.0</v>
      </c>
      <c r="L20" s="34">
        <v>2714.0</v>
      </c>
      <c r="M20" s="34">
        <v>2173.0</v>
      </c>
      <c r="N20" s="34">
        <v>3098.0</v>
      </c>
    </row>
    <row r="21" ht="15.75" customHeight="1">
      <c r="B21" s="33" t="s">
        <v>87</v>
      </c>
      <c r="C21" s="37">
        <v>940.0</v>
      </c>
      <c r="D21" s="37">
        <v>995.0</v>
      </c>
      <c r="E21" s="34">
        <v>1602.0</v>
      </c>
      <c r="F21" s="37">
        <v>743.0</v>
      </c>
      <c r="G21" s="34">
        <v>1052.0</v>
      </c>
      <c r="H21" s="37">
        <v>519.0</v>
      </c>
      <c r="I21" s="37">
        <v>229.0</v>
      </c>
      <c r="J21" s="37">
        <v>306.0</v>
      </c>
      <c r="K21" s="34">
        <v>1552.0</v>
      </c>
      <c r="L21" s="34">
        <v>2714.0</v>
      </c>
      <c r="M21" s="34">
        <v>2173.0</v>
      </c>
      <c r="N21" s="34">
        <v>3098.0</v>
      </c>
    </row>
    <row r="22" ht="15.75" customHeight="1">
      <c r="B22" s="33" t="s">
        <v>88</v>
      </c>
      <c r="C22" s="37">
        <v>954.0</v>
      </c>
      <c r="D22" s="34">
        <v>1010.0</v>
      </c>
      <c r="E22" s="34">
        <v>1355.0</v>
      </c>
      <c r="F22" s="37">
        <v>398.0</v>
      </c>
      <c r="G22" s="34">
        <v>-3151.0</v>
      </c>
      <c r="H22" s="34">
        <v>1769.0</v>
      </c>
      <c r="I22" s="37">
        <v>148.0</v>
      </c>
      <c r="J22" s="37">
        <v>294.0</v>
      </c>
      <c r="K22" s="34">
        <v>2783.0</v>
      </c>
      <c r="L22" s="34">
        <v>3268.0</v>
      </c>
      <c r="M22" s="34">
        <v>2230.0</v>
      </c>
      <c r="N22" s="34">
        <v>3133.0</v>
      </c>
    </row>
    <row r="23" ht="15.75" customHeight="1">
      <c r="B23" s="33" t="s">
        <v>89</v>
      </c>
      <c r="C23" s="37">
        <v>3.53</v>
      </c>
      <c r="D23" s="37">
        <v>3.74</v>
      </c>
      <c r="E23" s="37">
        <v>5.01</v>
      </c>
      <c r="F23" s="37">
        <v>1.47</v>
      </c>
      <c r="G23" s="37">
        <v>-11.65</v>
      </c>
      <c r="H23" s="37">
        <v>6.54</v>
      </c>
      <c r="I23" s="37">
        <v>0.55</v>
      </c>
      <c r="J23" s="37">
        <v>0.92</v>
      </c>
      <c r="K23" s="37">
        <v>8.71</v>
      </c>
      <c r="L23" s="37">
        <v>10.23</v>
      </c>
      <c r="M23" s="37">
        <v>6.98</v>
      </c>
      <c r="N23" s="37">
        <v>9.8</v>
      </c>
    </row>
    <row r="24" ht="15.75" customHeight="1">
      <c r="B24" s="33" t="s">
        <v>90</v>
      </c>
      <c r="C24" s="36">
        <v>0.31</v>
      </c>
      <c r="D24" s="36">
        <v>0.35</v>
      </c>
      <c r="E24" s="36">
        <v>0.26</v>
      </c>
      <c r="F24" s="36">
        <v>0.88</v>
      </c>
      <c r="G24" s="36">
        <v>-0.11</v>
      </c>
      <c r="H24" s="36">
        <v>0.2</v>
      </c>
      <c r="I24" s="36">
        <v>2.83</v>
      </c>
      <c r="J24" s="36">
        <v>1.69</v>
      </c>
      <c r="K24" s="36">
        <v>0.2</v>
      </c>
      <c r="L24" s="36">
        <v>0.2</v>
      </c>
      <c r="M24" s="36">
        <v>0.29</v>
      </c>
      <c r="N24" s="36">
        <v>0.26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31.67"/>
    <col customWidth="1" min="3" max="18" width="10.44"/>
    <col customWidth="1" min="19" max="26" width="11.11"/>
  </cols>
  <sheetData>
    <row r="1" ht="15.75" customHeight="1">
      <c r="B1" s="17"/>
      <c r="C1" s="18"/>
      <c r="D1" s="18"/>
      <c r="E1" s="19"/>
      <c r="F1" s="19"/>
    </row>
    <row r="2" ht="15.75" customHeight="1">
      <c r="B2" s="31"/>
      <c r="C2" s="38">
        <v>41699.0</v>
      </c>
      <c r="D2" s="38">
        <v>42064.0</v>
      </c>
      <c r="E2" s="38">
        <v>42430.0</v>
      </c>
      <c r="F2" s="38">
        <v>42795.0</v>
      </c>
      <c r="G2" s="38">
        <v>43160.0</v>
      </c>
      <c r="H2" s="38">
        <v>43525.0</v>
      </c>
      <c r="I2" s="38">
        <v>43891.0</v>
      </c>
      <c r="J2" s="38">
        <v>44256.0</v>
      </c>
      <c r="K2" s="38">
        <v>44621.0</v>
      </c>
      <c r="L2" s="38">
        <v>44986.0</v>
      </c>
      <c r="M2" s="39">
        <v>45352.0</v>
      </c>
      <c r="N2" s="40">
        <v>45717.0</v>
      </c>
      <c r="P2" s="41"/>
      <c r="Q2" s="41"/>
      <c r="R2" s="41"/>
    </row>
    <row r="3" ht="15.75" customHeight="1">
      <c r="B3" s="42" t="s">
        <v>91</v>
      </c>
      <c r="C3" s="34">
        <v>2700.0</v>
      </c>
      <c r="D3" s="34">
        <v>1688.0</v>
      </c>
      <c r="E3" s="34">
        <v>2947.0</v>
      </c>
      <c r="F3" s="34">
        <v>2121.0</v>
      </c>
      <c r="G3" s="34">
        <v>2767.0</v>
      </c>
      <c r="H3" s="34">
        <v>1683.0</v>
      </c>
      <c r="I3" s="34">
        <v>2309.0</v>
      </c>
      <c r="J3" s="34">
        <v>3334.0</v>
      </c>
      <c r="K3" s="34">
        <v>1684.0</v>
      </c>
      <c r="L3" s="37">
        <v>500.0</v>
      </c>
      <c r="M3" s="34">
        <v>5881.0</v>
      </c>
      <c r="N3" s="43">
        <v>6288.0</v>
      </c>
    </row>
    <row r="4" ht="15.75" customHeight="1">
      <c r="B4" s="33" t="s">
        <v>92</v>
      </c>
      <c r="C4" s="34">
        <v>2537.0</v>
      </c>
      <c r="D4" s="34">
        <v>2207.0</v>
      </c>
      <c r="E4" s="34">
        <v>2689.0</v>
      </c>
      <c r="F4" s="34">
        <v>2299.0</v>
      </c>
      <c r="G4" s="34">
        <v>2323.0</v>
      </c>
      <c r="H4" s="34">
        <v>2632.0</v>
      </c>
      <c r="I4" s="34">
        <v>1704.0</v>
      </c>
      <c r="J4" s="34">
        <v>3025.0</v>
      </c>
      <c r="K4" s="34">
        <v>1774.0</v>
      </c>
      <c r="L4" s="34">
        <v>2766.0</v>
      </c>
      <c r="M4" s="34">
        <v>4166.0</v>
      </c>
      <c r="N4" s="34">
        <v>4753.0</v>
      </c>
    </row>
    <row r="5" ht="15.75" customHeight="1">
      <c r="B5" s="33" t="s">
        <v>93</v>
      </c>
      <c r="C5" s="37">
        <v>-9.0</v>
      </c>
      <c r="D5" s="37">
        <v>-254.0</v>
      </c>
      <c r="E5" s="37">
        <v>499.0</v>
      </c>
      <c r="F5" s="37">
        <v>-196.0</v>
      </c>
      <c r="G5" s="37">
        <v>-48.0</v>
      </c>
      <c r="H5" s="37">
        <v>-251.0</v>
      </c>
      <c r="I5" s="37">
        <v>-10.0</v>
      </c>
      <c r="J5" s="37">
        <v>-111.0</v>
      </c>
      <c r="K5" s="37">
        <v>630.0</v>
      </c>
      <c r="L5" s="37">
        <v>-852.0</v>
      </c>
      <c r="M5" s="37">
        <v>313.0</v>
      </c>
      <c r="N5" s="37">
        <v>-882.0</v>
      </c>
    </row>
    <row r="6" ht="15.75" customHeight="1">
      <c r="B6" s="33" t="s">
        <v>94</v>
      </c>
      <c r="C6" s="37">
        <v>50.0</v>
      </c>
      <c r="D6" s="37">
        <v>41.0</v>
      </c>
      <c r="E6" s="37">
        <v>-20.0</v>
      </c>
      <c r="F6" s="37">
        <v>18.0</v>
      </c>
      <c r="G6" s="37">
        <v>95.0</v>
      </c>
      <c r="H6" s="37">
        <v>-107.0</v>
      </c>
      <c r="I6" s="37">
        <v>-35.0</v>
      </c>
      <c r="J6" s="37">
        <v>2.0</v>
      </c>
      <c r="K6" s="34">
        <v>-1090.0</v>
      </c>
      <c r="L6" s="37">
        <v>-144.0</v>
      </c>
      <c r="M6" s="37">
        <v>369.0</v>
      </c>
      <c r="N6" s="37">
        <v>-297.0</v>
      </c>
    </row>
    <row r="7" ht="15.75" customHeight="1">
      <c r="B7" s="33" t="s">
        <v>95</v>
      </c>
      <c r="C7" s="37">
        <v>134.0</v>
      </c>
      <c r="D7" s="37">
        <v>247.0</v>
      </c>
      <c r="E7" s="37">
        <v>-38.0</v>
      </c>
      <c r="F7" s="37">
        <v>83.0</v>
      </c>
      <c r="G7" s="37">
        <v>-119.0</v>
      </c>
      <c r="H7" s="37">
        <v>-35.0</v>
      </c>
      <c r="I7" s="37">
        <v>-278.0</v>
      </c>
      <c r="J7" s="37">
        <v>164.0</v>
      </c>
      <c r="K7" s="37">
        <v>811.0</v>
      </c>
      <c r="L7" s="34">
        <v>-2046.0</v>
      </c>
      <c r="M7" s="34">
        <v>2157.0</v>
      </c>
      <c r="N7" s="34">
        <v>1610.0</v>
      </c>
    </row>
    <row r="8" ht="15.75" customHeight="1">
      <c r="B8" s="33" t="s">
        <v>96</v>
      </c>
      <c r="C8" s="37">
        <v>-182.0</v>
      </c>
      <c r="D8" s="37">
        <v>31.0</v>
      </c>
      <c r="E8" s="37">
        <v>0.0</v>
      </c>
      <c r="F8" s="37">
        <v>0.0</v>
      </c>
      <c r="G8" s="37">
        <v>11.0</v>
      </c>
      <c r="H8" s="37">
        <v>4.0</v>
      </c>
      <c r="I8" s="37">
        <v>7.0</v>
      </c>
      <c r="J8" s="37">
        <v>1.0</v>
      </c>
      <c r="K8" s="37">
        <v>1.0</v>
      </c>
      <c r="L8" s="37">
        <v>0.0</v>
      </c>
      <c r="M8" s="37">
        <v>1.0</v>
      </c>
      <c r="N8" s="37">
        <v>0.0</v>
      </c>
    </row>
    <row r="9" ht="15.75" customHeight="1">
      <c r="B9" s="33" t="s">
        <v>97</v>
      </c>
      <c r="C9" s="37">
        <v>460.0</v>
      </c>
      <c r="D9" s="37">
        <v>-287.0</v>
      </c>
      <c r="E9" s="37">
        <v>-43.0</v>
      </c>
      <c r="F9" s="37">
        <v>132.0</v>
      </c>
      <c r="G9" s="37">
        <v>680.0</v>
      </c>
      <c r="H9" s="37">
        <v>-458.0</v>
      </c>
      <c r="I9" s="37">
        <v>994.0</v>
      </c>
      <c r="J9" s="37">
        <v>333.0</v>
      </c>
      <c r="K9" s="37">
        <v>-326.0</v>
      </c>
      <c r="L9" s="37">
        <v>903.0</v>
      </c>
      <c r="M9" s="34">
        <v>-1297.0</v>
      </c>
      <c r="N9" s="37">
        <v>920.0</v>
      </c>
    </row>
    <row r="10" ht="15.75" customHeight="1">
      <c r="B10" s="33" t="s">
        <v>98</v>
      </c>
      <c r="C10" s="37">
        <v>453.0</v>
      </c>
      <c r="D10" s="37">
        <v>-221.0</v>
      </c>
      <c r="E10" s="37">
        <v>399.0</v>
      </c>
      <c r="F10" s="37">
        <v>37.0</v>
      </c>
      <c r="G10" s="37">
        <v>618.0</v>
      </c>
      <c r="H10" s="37">
        <v>-848.0</v>
      </c>
      <c r="I10" s="37">
        <v>679.0</v>
      </c>
      <c r="J10" s="37">
        <v>389.0</v>
      </c>
      <c r="K10" s="37">
        <v>26.0</v>
      </c>
      <c r="L10" s="34">
        <v>-2140.0</v>
      </c>
      <c r="M10" s="34">
        <v>1543.0</v>
      </c>
      <c r="N10" s="34">
        <v>1352.0</v>
      </c>
    </row>
    <row r="11" ht="15.75" customHeight="1">
      <c r="B11" s="33" t="s">
        <v>99</v>
      </c>
      <c r="C11" s="37">
        <v>-291.0</v>
      </c>
      <c r="D11" s="37">
        <v>-298.0</v>
      </c>
      <c r="E11" s="37">
        <v>-141.0</v>
      </c>
      <c r="F11" s="37">
        <v>-216.0</v>
      </c>
      <c r="G11" s="37">
        <v>-174.0</v>
      </c>
      <c r="H11" s="37">
        <v>-101.0</v>
      </c>
      <c r="I11" s="37">
        <v>-74.0</v>
      </c>
      <c r="J11" s="37">
        <v>-80.0</v>
      </c>
      <c r="K11" s="37">
        <v>-116.0</v>
      </c>
      <c r="L11" s="37">
        <v>-126.0</v>
      </c>
      <c r="M11" s="37">
        <v>173.0</v>
      </c>
      <c r="N11" s="37">
        <v>184.0</v>
      </c>
    </row>
    <row r="12" ht="15.75" customHeight="1">
      <c r="B12" s="42" t="s">
        <v>100</v>
      </c>
      <c r="C12" s="34">
        <v>-2343.0</v>
      </c>
      <c r="D12" s="34">
        <v>-1625.0</v>
      </c>
      <c r="E12" s="34">
        <v>-1627.0</v>
      </c>
      <c r="F12" s="34">
        <v>-5582.0</v>
      </c>
      <c r="G12" s="34">
        <v>-1355.0</v>
      </c>
      <c r="H12" s="37">
        <v>-557.0</v>
      </c>
      <c r="I12" s="37">
        <v>-471.0</v>
      </c>
      <c r="J12" s="34">
        <v>-1174.0</v>
      </c>
      <c r="K12" s="34">
        <v>1587.0</v>
      </c>
      <c r="L12" s="34">
        <v>5124.0</v>
      </c>
      <c r="M12" s="37">
        <v>-92.0</v>
      </c>
      <c r="N12" s="37">
        <v>-71.0</v>
      </c>
    </row>
    <row r="13" ht="15.75" customHeight="1">
      <c r="B13" s="33" t="s">
        <v>101</v>
      </c>
      <c r="C13" s="34">
        <v>-1101.0</v>
      </c>
      <c r="D13" s="34">
        <v>-1256.0</v>
      </c>
      <c r="E13" s="34">
        <v>-1009.0</v>
      </c>
      <c r="F13" s="37">
        <v>-884.0</v>
      </c>
      <c r="G13" s="37">
        <v>-665.0</v>
      </c>
      <c r="H13" s="37">
        <v>-522.0</v>
      </c>
      <c r="I13" s="37">
        <v>-705.0</v>
      </c>
      <c r="J13" s="34">
        <v>-1061.0</v>
      </c>
      <c r="K13" s="34">
        <v>-1186.0</v>
      </c>
      <c r="L13" s="34">
        <v>-1711.0</v>
      </c>
      <c r="M13" s="34">
        <v>-1659.0</v>
      </c>
      <c r="N13" s="34">
        <v>-1624.0</v>
      </c>
    </row>
    <row r="14" ht="15.75" customHeight="1">
      <c r="B14" s="33" t="s">
        <v>102</v>
      </c>
      <c r="C14" s="37">
        <v>3.0</v>
      </c>
      <c r="D14" s="37">
        <v>28.0</v>
      </c>
      <c r="E14" s="37">
        <v>65.0</v>
      </c>
      <c r="F14" s="37">
        <v>9.0</v>
      </c>
      <c r="G14" s="37">
        <v>16.0</v>
      </c>
      <c r="H14" s="37">
        <v>32.0</v>
      </c>
      <c r="I14" s="37">
        <v>27.0</v>
      </c>
      <c r="J14" s="37">
        <v>258.0</v>
      </c>
      <c r="K14" s="37">
        <v>18.0</v>
      </c>
      <c r="L14" s="37">
        <v>10.0</v>
      </c>
      <c r="M14" s="37">
        <v>136.0</v>
      </c>
      <c r="N14" s="37">
        <v>219.0</v>
      </c>
    </row>
    <row r="15" ht="15.75" customHeight="1">
      <c r="B15" s="33" t="s">
        <v>103</v>
      </c>
      <c r="C15" s="34">
        <v>-13283.0</v>
      </c>
      <c r="D15" s="34">
        <v>-12881.0</v>
      </c>
      <c r="E15" s="34">
        <v>-9027.0</v>
      </c>
      <c r="F15" s="34">
        <v>-24428.0</v>
      </c>
      <c r="G15" s="37">
        <v>-105.0</v>
      </c>
      <c r="H15" s="34">
        <v>-3451.0</v>
      </c>
      <c r="I15" s="37">
        <v>-284.0</v>
      </c>
      <c r="J15" s="37">
        <v>-711.0</v>
      </c>
      <c r="K15" s="37">
        <v>-779.0</v>
      </c>
      <c r="L15" s="34">
        <v>-5391.0</v>
      </c>
      <c r="M15" s="37">
        <v>-386.0</v>
      </c>
      <c r="N15" s="37">
        <v>-15.0</v>
      </c>
    </row>
    <row r="16" ht="15.75" customHeight="1">
      <c r="B16" s="33" t="s">
        <v>104</v>
      </c>
      <c r="C16" s="34">
        <v>13534.0</v>
      </c>
      <c r="D16" s="34">
        <v>12079.0</v>
      </c>
      <c r="E16" s="34">
        <v>9059.0</v>
      </c>
      <c r="F16" s="34">
        <v>24455.0</v>
      </c>
      <c r="G16" s="37">
        <v>339.0</v>
      </c>
      <c r="H16" s="34">
        <v>2429.0</v>
      </c>
      <c r="I16" s="37">
        <v>307.0</v>
      </c>
      <c r="J16" s="37">
        <v>0.0</v>
      </c>
      <c r="K16" s="34">
        <v>2373.0</v>
      </c>
      <c r="L16" s="34">
        <v>4926.0</v>
      </c>
      <c r="M16" s="37">
        <v>0.0</v>
      </c>
      <c r="N16" s="37">
        <v>241.0</v>
      </c>
    </row>
    <row r="17" ht="15.75" customHeight="1">
      <c r="B17" s="33" t="s">
        <v>105</v>
      </c>
      <c r="C17" s="37">
        <v>171.0</v>
      </c>
      <c r="D17" s="37">
        <v>245.0</v>
      </c>
      <c r="E17" s="37">
        <v>235.0</v>
      </c>
      <c r="F17" s="37">
        <v>93.0</v>
      </c>
      <c r="G17" s="37">
        <v>131.0</v>
      </c>
      <c r="H17" s="37">
        <v>122.0</v>
      </c>
      <c r="I17" s="37">
        <v>108.0</v>
      </c>
      <c r="J17" s="37">
        <v>137.0</v>
      </c>
      <c r="K17" s="37">
        <v>186.0</v>
      </c>
      <c r="L17" s="37">
        <v>71.0</v>
      </c>
      <c r="M17" s="37">
        <v>150.0</v>
      </c>
      <c r="N17" s="37">
        <v>181.0</v>
      </c>
    </row>
    <row r="18" ht="15.75" customHeight="1">
      <c r="B18" s="33" t="s">
        <v>106</v>
      </c>
      <c r="C18" s="37">
        <v>304.0</v>
      </c>
      <c r="D18" s="37">
        <v>500.0</v>
      </c>
      <c r="E18" s="37">
        <v>403.0</v>
      </c>
      <c r="F18" s="37">
        <v>559.0</v>
      </c>
      <c r="G18" s="37">
        <v>594.0</v>
      </c>
      <c r="H18" s="37">
        <v>549.0</v>
      </c>
      <c r="I18" s="37">
        <v>450.0</v>
      </c>
      <c r="J18" s="37">
        <v>998.0</v>
      </c>
      <c r="K18" s="37">
        <v>819.0</v>
      </c>
      <c r="L18" s="34">
        <v>5303.0</v>
      </c>
      <c r="M18" s="34">
        <v>2022.0</v>
      </c>
      <c r="N18" s="34">
        <v>2028.0</v>
      </c>
    </row>
    <row r="19" ht="15.75" customHeight="1">
      <c r="B19" s="33" t="s">
        <v>107</v>
      </c>
      <c r="C19" s="34">
        <v>-1304.0</v>
      </c>
      <c r="D19" s="37">
        <v>0.0</v>
      </c>
      <c r="E19" s="37">
        <v>-193.0</v>
      </c>
      <c r="F19" s="34">
        <v>-4834.0</v>
      </c>
      <c r="G19" s="34">
        <v>-1328.0</v>
      </c>
      <c r="H19" s="37">
        <v>0.0</v>
      </c>
      <c r="I19" s="37">
        <v>0.0</v>
      </c>
      <c r="J19" s="37">
        <v>0.0</v>
      </c>
      <c r="K19" s="37">
        <v>0.0</v>
      </c>
      <c r="L19" s="37">
        <v>0.0</v>
      </c>
      <c r="M19" s="37">
        <v>0.0</v>
      </c>
      <c r="N19" s="37">
        <v>0.0</v>
      </c>
    </row>
    <row r="20" ht="15.75" customHeight="1">
      <c r="B20" s="33" t="s">
        <v>108</v>
      </c>
      <c r="C20" s="34">
        <v>-3339.0</v>
      </c>
      <c r="D20" s="37">
        <v>0.0</v>
      </c>
      <c r="E20" s="34">
        <v>-1177.0</v>
      </c>
      <c r="F20" s="37">
        <v>-187.0</v>
      </c>
      <c r="G20" s="34">
        <v>-1377.0</v>
      </c>
      <c r="H20" s="37">
        <v>0.0</v>
      </c>
      <c r="I20" s="37">
        <v>0.0</v>
      </c>
      <c r="J20" s="37">
        <v>0.0</v>
      </c>
      <c r="K20" s="37">
        <v>0.0</v>
      </c>
      <c r="L20" s="37">
        <v>0.0</v>
      </c>
      <c r="M20" s="37">
        <v>0.0</v>
      </c>
      <c r="N20" s="37">
        <v>0.0</v>
      </c>
    </row>
    <row r="21" ht="15.75" customHeight="1">
      <c r="B21" s="33" t="s">
        <v>109</v>
      </c>
      <c r="C21" s="37">
        <v>-19.0</v>
      </c>
      <c r="D21" s="37">
        <v>0.0</v>
      </c>
      <c r="E21" s="37">
        <v>0.0</v>
      </c>
      <c r="F21" s="37">
        <v>0.0</v>
      </c>
      <c r="G21" s="37">
        <v>0.0</v>
      </c>
      <c r="H21" s="37">
        <v>0.0</v>
      </c>
      <c r="I21" s="37">
        <v>0.0</v>
      </c>
      <c r="J21" s="37">
        <v>0.0</v>
      </c>
      <c r="K21" s="37">
        <v>0.0</v>
      </c>
      <c r="L21" s="37">
        <v>0.0</v>
      </c>
      <c r="M21" s="37">
        <v>0.0</v>
      </c>
      <c r="N21" s="37">
        <v>0.0</v>
      </c>
    </row>
    <row r="22" ht="15.75" customHeight="1">
      <c r="B22" s="33" t="s">
        <v>110</v>
      </c>
      <c r="C22" s="37">
        <v>0.0</v>
      </c>
      <c r="D22" s="37">
        <v>0.0</v>
      </c>
      <c r="E22" s="37">
        <v>11.0</v>
      </c>
      <c r="F22" s="37">
        <v>0.0</v>
      </c>
      <c r="G22" s="37">
        <v>0.0</v>
      </c>
      <c r="H22" s="37">
        <v>0.0</v>
      </c>
      <c r="I22" s="37">
        <v>0.0</v>
      </c>
      <c r="J22" s="37">
        <v>0.0</v>
      </c>
      <c r="K22" s="37">
        <v>0.0</v>
      </c>
      <c r="L22" s="37">
        <v>0.0</v>
      </c>
      <c r="M22" s="37">
        <v>7.0</v>
      </c>
      <c r="N22" s="37">
        <v>0.0</v>
      </c>
    </row>
    <row r="23" ht="15.75" customHeight="1">
      <c r="B23" s="33" t="s">
        <v>111</v>
      </c>
      <c r="C23" s="37">
        <v>0.0</v>
      </c>
      <c r="D23" s="37">
        <v>0.0</v>
      </c>
      <c r="E23" s="37">
        <v>-309.0</v>
      </c>
      <c r="F23" s="37">
        <v>0.0</v>
      </c>
      <c r="G23" s="37">
        <v>0.0</v>
      </c>
      <c r="H23" s="37">
        <v>0.0</v>
      </c>
      <c r="I23" s="37">
        <v>0.0</v>
      </c>
      <c r="J23" s="37">
        <v>0.0</v>
      </c>
      <c r="K23" s="37">
        <v>0.0</v>
      </c>
      <c r="L23" s="37">
        <v>0.0</v>
      </c>
      <c r="M23" s="37">
        <v>-404.0</v>
      </c>
      <c r="N23" s="37">
        <v>-838.0</v>
      </c>
    </row>
    <row r="24" ht="15.75" customHeight="1">
      <c r="B24" s="33" t="s">
        <v>112</v>
      </c>
      <c r="C24" s="37">
        <v>338.0</v>
      </c>
      <c r="D24" s="37">
        <v>-24.0</v>
      </c>
      <c r="E24" s="37">
        <v>0.0</v>
      </c>
      <c r="F24" s="37">
        <v>24.0</v>
      </c>
      <c r="G24" s="37">
        <v>0.0</v>
      </c>
      <c r="H24" s="37">
        <v>0.0</v>
      </c>
      <c r="I24" s="37">
        <v>0.0</v>
      </c>
      <c r="J24" s="37">
        <v>0.0</v>
      </c>
      <c r="K24" s="37">
        <v>0.0</v>
      </c>
      <c r="L24" s="37">
        <v>0.0</v>
      </c>
      <c r="M24" s="37">
        <v>0.0</v>
      </c>
      <c r="N24" s="37">
        <v>0.0</v>
      </c>
    </row>
    <row r="25" ht="15.75" customHeight="1">
      <c r="B25" s="33" t="s">
        <v>113</v>
      </c>
      <c r="C25" s="34">
        <v>2353.0</v>
      </c>
      <c r="D25" s="37">
        <v>-317.0</v>
      </c>
      <c r="E25" s="37">
        <v>315.0</v>
      </c>
      <c r="F25" s="37">
        <v>-391.0</v>
      </c>
      <c r="G25" s="34">
        <v>1040.0</v>
      </c>
      <c r="H25" s="37">
        <v>285.0</v>
      </c>
      <c r="I25" s="37">
        <v>-373.0</v>
      </c>
      <c r="J25" s="37">
        <v>-793.0</v>
      </c>
      <c r="K25" s="37">
        <v>156.0</v>
      </c>
      <c r="L25" s="34">
        <v>1915.0</v>
      </c>
      <c r="M25" s="37">
        <v>42.0</v>
      </c>
      <c r="N25" s="37">
        <v>-264.0</v>
      </c>
    </row>
    <row r="26" ht="15.75" customHeight="1">
      <c r="B26" s="42" t="s">
        <v>114</v>
      </c>
      <c r="C26" s="37">
        <v>-703.0</v>
      </c>
      <c r="D26" s="37">
        <v>148.0</v>
      </c>
      <c r="E26" s="34">
        <v>-1701.0</v>
      </c>
      <c r="F26" s="34">
        <v>3718.0</v>
      </c>
      <c r="G26" s="34">
        <v>-1605.0</v>
      </c>
      <c r="H26" s="37">
        <v>-996.0</v>
      </c>
      <c r="I26" s="34">
        <v>-1753.0</v>
      </c>
      <c r="J26" s="34">
        <v>-2618.0</v>
      </c>
      <c r="K26" s="34">
        <v>-3635.0</v>
      </c>
      <c r="L26" s="34">
        <v>-5350.0</v>
      </c>
      <c r="M26" s="34">
        <v>-5465.0</v>
      </c>
      <c r="N26" s="34">
        <v>-5305.0</v>
      </c>
    </row>
    <row r="27" ht="15.75" customHeight="1">
      <c r="B27" s="33" t="s">
        <v>115</v>
      </c>
      <c r="C27" s="37">
        <v>20.0</v>
      </c>
      <c r="D27" s="34">
        <v>2009.0</v>
      </c>
      <c r="E27" s="37">
        <v>13.0</v>
      </c>
      <c r="F27" s="37">
        <v>15.0</v>
      </c>
      <c r="G27" s="37">
        <v>11.0</v>
      </c>
      <c r="H27" s="37">
        <v>11.0</v>
      </c>
      <c r="I27" s="37">
        <v>7.0</v>
      </c>
      <c r="J27" s="34">
        <v>2605.0</v>
      </c>
      <c r="K27" s="37">
        <v>8.0</v>
      </c>
      <c r="L27" s="37">
        <v>9.0</v>
      </c>
      <c r="M27" s="37">
        <v>12.0</v>
      </c>
      <c r="N27" s="37">
        <v>13.0</v>
      </c>
    </row>
    <row r="28" ht="15.75" customHeight="1">
      <c r="B28" s="33" t="s">
        <v>116</v>
      </c>
      <c r="C28" s="34">
        <v>3832.0</v>
      </c>
      <c r="D28" s="34">
        <v>6477.0</v>
      </c>
      <c r="E28" s="34">
        <v>9126.0</v>
      </c>
      <c r="F28" s="34">
        <v>13542.0</v>
      </c>
      <c r="G28" s="34">
        <v>13683.0</v>
      </c>
      <c r="H28" s="34">
        <v>26067.0</v>
      </c>
      <c r="I28" s="34">
        <v>34180.0</v>
      </c>
      <c r="J28" s="34">
        <v>23825.0</v>
      </c>
      <c r="K28" s="34">
        <v>25273.0</v>
      </c>
      <c r="L28" s="34">
        <v>32004.0</v>
      </c>
      <c r="M28" s="34">
        <v>34756.0</v>
      </c>
      <c r="N28" s="34">
        <v>7484.0</v>
      </c>
    </row>
    <row r="29" ht="15.75" customHeight="1">
      <c r="B29" s="33" t="s">
        <v>117</v>
      </c>
      <c r="C29" s="34">
        <v>-3149.0</v>
      </c>
      <c r="D29" s="34">
        <v>-6866.0</v>
      </c>
      <c r="E29" s="34">
        <v>-9141.0</v>
      </c>
      <c r="F29" s="34">
        <v>-8116.0</v>
      </c>
      <c r="G29" s="34">
        <v>-13166.0</v>
      </c>
      <c r="H29" s="34">
        <v>-24961.0</v>
      </c>
      <c r="I29" s="34">
        <v>-33864.0</v>
      </c>
      <c r="J29" s="34">
        <v>-26032.0</v>
      </c>
      <c r="K29" s="34">
        <v>-25995.0</v>
      </c>
      <c r="L29" s="34">
        <v>-34255.0</v>
      </c>
      <c r="M29" s="34">
        <v>-37070.0</v>
      </c>
      <c r="N29" s="34">
        <v>-9995.0</v>
      </c>
    </row>
    <row r="30" ht="15.75" customHeight="1">
      <c r="B30" s="33" t="s">
        <v>118</v>
      </c>
      <c r="C30" s="37">
        <v>-961.0</v>
      </c>
      <c r="D30" s="34">
        <v>-1023.0</v>
      </c>
      <c r="E30" s="34">
        <v>-1163.0</v>
      </c>
      <c r="F30" s="34">
        <v>-1172.0</v>
      </c>
      <c r="G30" s="34">
        <v>-1578.0</v>
      </c>
      <c r="H30" s="34">
        <v>-1591.0</v>
      </c>
      <c r="I30" s="34">
        <v>-1524.0</v>
      </c>
      <c r="J30" s="34">
        <v>-2136.0</v>
      </c>
      <c r="K30" s="34">
        <v>-1870.0</v>
      </c>
      <c r="L30" s="34">
        <v>-2031.0</v>
      </c>
      <c r="M30" s="34">
        <v>-2190.0</v>
      </c>
      <c r="N30" s="34">
        <v>-1779.0</v>
      </c>
    </row>
    <row r="31" ht="15.75" customHeight="1">
      <c r="B31" s="33" t="s">
        <v>119</v>
      </c>
      <c r="C31" s="37">
        <v>-272.0</v>
      </c>
      <c r="D31" s="37">
        <v>-337.0</v>
      </c>
      <c r="E31" s="37">
        <v>-352.0</v>
      </c>
      <c r="F31" s="37">
        <v>-350.0</v>
      </c>
      <c r="G31" s="37">
        <v>-351.0</v>
      </c>
      <c r="H31" s="37">
        <v>-352.0</v>
      </c>
      <c r="I31" s="37">
        <v>-352.0</v>
      </c>
      <c r="J31" s="37">
        <v>-419.0</v>
      </c>
      <c r="K31" s="37">
        <v>-495.0</v>
      </c>
      <c r="L31" s="37">
        <v>-559.0</v>
      </c>
      <c r="M31" s="37">
        <v>-639.0</v>
      </c>
      <c r="N31" s="37">
        <v>-639.0</v>
      </c>
    </row>
    <row r="32" ht="15.75" customHeight="1">
      <c r="B32" s="33" t="s">
        <v>120</v>
      </c>
      <c r="C32" s="37">
        <v>0.0</v>
      </c>
      <c r="D32" s="37">
        <v>0.0</v>
      </c>
      <c r="E32" s="37">
        <v>0.0</v>
      </c>
      <c r="F32" s="37">
        <v>0.0</v>
      </c>
      <c r="G32" s="37">
        <v>0.0</v>
      </c>
      <c r="H32" s="37">
        <v>0.0</v>
      </c>
      <c r="I32" s="37">
        <v>-29.0</v>
      </c>
      <c r="J32" s="37">
        <v>-290.0</v>
      </c>
      <c r="K32" s="37">
        <v>-277.0</v>
      </c>
      <c r="L32" s="37">
        <v>-293.0</v>
      </c>
      <c r="M32" s="37">
        <v>-308.0</v>
      </c>
      <c r="N32" s="37">
        <v>-339.0</v>
      </c>
    </row>
    <row r="33" ht="15.75" customHeight="1">
      <c r="B33" s="33" t="s">
        <v>121</v>
      </c>
      <c r="C33" s="37">
        <v>-173.0</v>
      </c>
      <c r="D33" s="37">
        <v>-112.0</v>
      </c>
      <c r="E33" s="37">
        <v>-184.0</v>
      </c>
      <c r="F33" s="37">
        <v>-201.0</v>
      </c>
      <c r="G33" s="37">
        <v>-205.0</v>
      </c>
      <c r="H33" s="37">
        <v>-171.0</v>
      </c>
      <c r="I33" s="37">
        <v>-171.0</v>
      </c>
      <c r="J33" s="37">
        <v>-171.0</v>
      </c>
      <c r="K33" s="37">
        <v>-277.0</v>
      </c>
      <c r="L33" s="37">
        <v>-225.0</v>
      </c>
      <c r="M33" s="37">
        <v>-25.0</v>
      </c>
      <c r="N33" s="37">
        <v>-50.0</v>
      </c>
    </row>
    <row r="34" ht="15.75" customHeight="1">
      <c r="B34" s="33" t="s">
        <v>122</v>
      </c>
      <c r="C34" s="37">
        <v>-346.0</v>
      </c>
      <c r="D34" s="37">
        <v>211.0</v>
      </c>
      <c r="E34" s="37">
        <v>-381.0</v>
      </c>
      <c r="F34" s="37">
        <v>257.0</v>
      </c>
      <c r="G34" s="37">
        <v>-192.0</v>
      </c>
      <c r="H34" s="37">
        <v>131.0</v>
      </c>
      <c r="I34" s="37">
        <v>85.0</v>
      </c>
      <c r="J34" s="37">
        <v>-458.0</v>
      </c>
      <c r="K34" s="37">
        <v>-364.0</v>
      </c>
      <c r="L34" s="37">
        <v>274.0</v>
      </c>
      <c r="M34" s="37">
        <v>325.0</v>
      </c>
      <c r="N34" s="37">
        <v>912.0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51.78"/>
    <col customWidth="1" min="3" max="16" width="10.44"/>
    <col customWidth="1" min="17" max="26" width="11.11"/>
  </cols>
  <sheetData>
    <row r="1" ht="15.75" customHeight="1">
      <c r="B1" s="17"/>
      <c r="C1" s="18"/>
      <c r="D1" s="18"/>
      <c r="E1" s="19"/>
      <c r="F1" s="19"/>
      <c r="G1" s="19"/>
    </row>
    <row r="2" ht="15.75" customHeight="1">
      <c r="B2" s="33" t="s">
        <v>123</v>
      </c>
      <c r="C2" s="35">
        <v>0.3302</v>
      </c>
      <c r="D2" s="35">
        <v>0.3302</v>
      </c>
      <c r="E2" s="35">
        <v>0.33</v>
      </c>
      <c r="F2" s="35">
        <v>0.3722</v>
      </c>
      <c r="G2" s="35">
        <v>0.4686</v>
      </c>
      <c r="H2" s="35">
        <v>0.4686</v>
      </c>
      <c r="I2" s="35">
        <v>0.4686</v>
      </c>
      <c r="J2" s="35">
        <v>0.4686</v>
      </c>
      <c r="K2" s="35">
        <v>0.4686</v>
      </c>
      <c r="L2" s="44"/>
      <c r="M2" s="45"/>
      <c r="N2" s="45"/>
      <c r="O2" s="19"/>
      <c r="P2" s="19"/>
      <c r="Q2" s="19"/>
    </row>
    <row r="3" ht="15.75" customHeight="1">
      <c r="B3" s="46" t="s">
        <v>124</v>
      </c>
      <c r="C3" s="37">
        <v>31.05</v>
      </c>
      <c r="D3" s="37">
        <v>31.05</v>
      </c>
      <c r="E3" s="37">
        <v>31.05</v>
      </c>
      <c r="F3" s="37">
        <v>35.27</v>
      </c>
      <c r="G3" s="37">
        <v>45.21</v>
      </c>
      <c r="H3" s="37">
        <v>45.21</v>
      </c>
      <c r="I3" s="37">
        <v>45.21</v>
      </c>
      <c r="J3" s="37">
        <v>45.21</v>
      </c>
      <c r="K3" s="37">
        <v>45.21</v>
      </c>
      <c r="L3" s="47"/>
      <c r="M3" s="48"/>
      <c r="N3" s="41" t="s">
        <v>125</v>
      </c>
      <c r="O3" s="41"/>
      <c r="P3" s="41"/>
      <c r="Q3" s="19"/>
    </row>
    <row r="4" ht="15.75" customHeight="1">
      <c r="B4" s="46" t="s">
        <v>126</v>
      </c>
      <c r="C4" s="37">
        <v>1.45</v>
      </c>
      <c r="D4" s="37">
        <v>1.45</v>
      </c>
      <c r="E4" s="37">
        <v>1.45</v>
      </c>
      <c r="F4" s="37">
        <v>1.45</v>
      </c>
      <c r="G4" s="37">
        <v>1.22</v>
      </c>
      <c r="H4" s="37">
        <v>1.22</v>
      </c>
      <c r="I4" s="37">
        <v>1.22</v>
      </c>
      <c r="J4" s="37">
        <v>1.22</v>
      </c>
      <c r="K4" s="37">
        <v>1.22</v>
      </c>
      <c r="L4" s="47"/>
      <c r="M4" s="48"/>
      <c r="N4" s="48"/>
      <c r="O4" s="19"/>
      <c r="P4" s="19"/>
      <c r="Q4" s="19"/>
    </row>
    <row r="5" ht="15.75" customHeight="1">
      <c r="B5" s="46" t="s">
        <v>127</v>
      </c>
      <c r="C5" s="37">
        <v>0.25</v>
      </c>
      <c r="D5" s="37">
        <v>0.25</v>
      </c>
      <c r="E5" s="37">
        <v>0.25</v>
      </c>
      <c r="F5" s="37">
        <v>0.25</v>
      </c>
      <c r="G5" s="37">
        <v>0.21</v>
      </c>
      <c r="H5" s="37">
        <v>0.21</v>
      </c>
      <c r="I5" s="37">
        <v>0.21</v>
      </c>
      <c r="J5" s="37">
        <v>0.21</v>
      </c>
      <c r="K5" s="37">
        <v>0.21</v>
      </c>
      <c r="L5" s="47"/>
      <c r="M5" s="47"/>
      <c r="N5" s="47"/>
    </row>
    <row r="6" ht="15.75" customHeight="1">
      <c r="B6" s="46" t="s">
        <v>128</v>
      </c>
      <c r="C6" s="37">
        <v>0.17</v>
      </c>
      <c r="D6" s="37">
        <v>0.17</v>
      </c>
      <c r="E6" s="37">
        <v>0.17</v>
      </c>
      <c r="F6" s="37">
        <v>0.17</v>
      </c>
      <c r="G6" s="37">
        <v>0.14</v>
      </c>
      <c r="H6" s="37">
        <v>0.14</v>
      </c>
      <c r="I6" s="37">
        <v>0.14</v>
      </c>
      <c r="J6" s="37">
        <v>0.14</v>
      </c>
      <c r="K6" s="37">
        <v>0.14</v>
      </c>
      <c r="L6" s="47"/>
      <c r="M6" s="47"/>
      <c r="N6" s="47"/>
    </row>
    <row r="7" ht="15.75" customHeight="1">
      <c r="B7" s="46" t="s">
        <v>129</v>
      </c>
      <c r="C7" s="37">
        <v>0.08</v>
      </c>
      <c r="D7" s="37">
        <v>0.08</v>
      </c>
      <c r="E7" s="37">
        <v>0.08</v>
      </c>
      <c r="F7" s="37">
        <v>0.08</v>
      </c>
      <c r="G7" s="37">
        <v>0.07</v>
      </c>
      <c r="H7" s="37">
        <v>0.07</v>
      </c>
      <c r="I7" s="37">
        <v>0.07</v>
      </c>
      <c r="J7" s="37">
        <v>0.07</v>
      </c>
      <c r="K7" s="37">
        <v>0.07</v>
      </c>
      <c r="L7" s="47"/>
      <c r="M7" s="47"/>
      <c r="N7" s="47"/>
    </row>
    <row r="8" ht="15.75" customHeight="1">
      <c r="B8" s="46" t="s">
        <v>130</v>
      </c>
      <c r="C8" s="37">
        <v>0.02</v>
      </c>
      <c r="D8" s="37">
        <v>0.02</v>
      </c>
      <c r="E8" s="37">
        <v>0.0</v>
      </c>
      <c r="F8" s="37"/>
      <c r="G8" s="37"/>
      <c r="H8" s="37"/>
      <c r="I8" s="37"/>
      <c r="J8" s="37"/>
      <c r="K8" s="37"/>
      <c r="L8" s="44"/>
      <c r="M8" s="44"/>
      <c r="N8" s="44"/>
    </row>
    <row r="9" ht="15.75" customHeight="1">
      <c r="B9" s="46" t="s">
        <v>131</v>
      </c>
      <c r="C9" s="37">
        <v>0.0</v>
      </c>
      <c r="D9" s="37">
        <v>0.0</v>
      </c>
      <c r="E9" s="37">
        <v>0.0</v>
      </c>
      <c r="F9" s="37"/>
      <c r="G9" s="37"/>
      <c r="H9" s="37"/>
      <c r="I9" s="37"/>
      <c r="J9" s="37"/>
      <c r="K9" s="37"/>
      <c r="L9" s="44"/>
      <c r="M9" s="44"/>
      <c r="N9" s="44"/>
    </row>
    <row r="10" ht="15.75" customHeight="1">
      <c r="B10" s="46" t="s">
        <v>132</v>
      </c>
      <c r="C10" s="37"/>
      <c r="D10" s="37"/>
      <c r="E10" s="37"/>
      <c r="F10" s="37">
        <v>0.0</v>
      </c>
      <c r="G10" s="37">
        <v>0.0</v>
      </c>
      <c r="H10" s="37">
        <v>0.0</v>
      </c>
      <c r="I10" s="37"/>
      <c r="J10" s="37"/>
      <c r="K10" s="37"/>
      <c r="L10" s="47"/>
      <c r="M10" s="47"/>
      <c r="N10" s="47"/>
    </row>
    <row r="11" ht="15.75" customHeight="1">
      <c r="B11" s="46" t="s">
        <v>133</v>
      </c>
      <c r="C11" s="37">
        <v>0.0</v>
      </c>
      <c r="D11" s="37"/>
      <c r="E11" s="37"/>
      <c r="F11" s="37"/>
      <c r="G11" s="37"/>
      <c r="H11" s="37"/>
      <c r="I11" s="37"/>
      <c r="J11" s="37"/>
      <c r="K11" s="37"/>
      <c r="L11" s="47"/>
      <c r="M11" s="47"/>
      <c r="N11" s="47"/>
    </row>
    <row r="12" ht="15.75" customHeight="1">
      <c r="B12" s="46" t="s">
        <v>134</v>
      </c>
      <c r="C12" s="37"/>
      <c r="D12" s="37">
        <v>0.0</v>
      </c>
      <c r="E12" s="37">
        <v>0.0</v>
      </c>
      <c r="F12" s="37">
        <v>0.0</v>
      </c>
      <c r="G12" s="37">
        <v>0.0</v>
      </c>
      <c r="H12" s="37">
        <v>0.0</v>
      </c>
      <c r="I12" s="37">
        <v>0.0</v>
      </c>
      <c r="J12" s="37"/>
      <c r="K12" s="37"/>
      <c r="L12" s="47"/>
      <c r="M12" s="47"/>
      <c r="N12" s="47"/>
    </row>
    <row r="13" ht="15.75" customHeight="1">
      <c r="B13" s="46" t="s">
        <v>135</v>
      </c>
      <c r="C13" s="37">
        <v>0.0</v>
      </c>
      <c r="D13" s="37"/>
      <c r="E13" s="37">
        <v>0.0</v>
      </c>
      <c r="F13" s="37"/>
      <c r="G13" s="37"/>
      <c r="H13" s="37"/>
      <c r="I13" s="37"/>
      <c r="J13" s="37"/>
      <c r="K13" s="37"/>
      <c r="L13" s="47"/>
      <c r="M13" s="47"/>
      <c r="N13" s="47"/>
    </row>
    <row r="14" ht="15.75" customHeight="1">
      <c r="B14" s="46" t="s">
        <v>136</v>
      </c>
      <c r="C14" s="37"/>
      <c r="D14" s="37">
        <v>0.0</v>
      </c>
      <c r="E14" s="37"/>
      <c r="F14" s="37"/>
      <c r="G14" s="37"/>
      <c r="H14" s="37"/>
      <c r="I14" s="37"/>
      <c r="J14" s="37"/>
      <c r="K14" s="37"/>
      <c r="L14" s="47"/>
      <c r="M14" s="47"/>
      <c r="N14" s="47"/>
    </row>
    <row r="15" ht="15.75" customHeight="1">
      <c r="B15" s="46" t="s">
        <v>137</v>
      </c>
      <c r="C15" s="37"/>
      <c r="D15" s="37"/>
      <c r="E15" s="37"/>
      <c r="F15" s="37">
        <v>0.0</v>
      </c>
      <c r="G15" s="37">
        <v>0.0</v>
      </c>
      <c r="H15" s="37">
        <v>0.0</v>
      </c>
      <c r="I15" s="37"/>
      <c r="J15" s="37"/>
      <c r="K15" s="37"/>
      <c r="L15" s="47"/>
      <c r="M15" s="47"/>
      <c r="N15" s="47"/>
    </row>
    <row r="16" ht="15.75" customHeight="1">
      <c r="B16" s="46" t="s">
        <v>138</v>
      </c>
      <c r="C16" s="37"/>
      <c r="D16" s="37"/>
      <c r="E16" s="37"/>
      <c r="F16" s="37">
        <v>0.0</v>
      </c>
      <c r="G16" s="37">
        <v>0.0</v>
      </c>
      <c r="H16" s="37">
        <v>0.0</v>
      </c>
      <c r="I16" s="37"/>
      <c r="J16" s="37"/>
      <c r="K16" s="37"/>
      <c r="L16" s="47"/>
      <c r="M16" s="47"/>
      <c r="N16" s="47"/>
    </row>
    <row r="17" ht="15.75" customHeight="1">
      <c r="B17" s="46" t="s">
        <v>130</v>
      </c>
      <c r="C17" s="49"/>
      <c r="D17" s="49"/>
      <c r="E17" s="49"/>
      <c r="F17" s="49"/>
      <c r="G17" s="49"/>
      <c r="H17" s="49"/>
      <c r="I17" s="49">
        <v>0.0</v>
      </c>
      <c r="J17" s="49"/>
      <c r="K17" s="49"/>
      <c r="L17" s="44"/>
      <c r="M17" s="44"/>
      <c r="N17" s="44"/>
    </row>
    <row r="18" ht="15.75" customHeight="1">
      <c r="B18" s="46" t="s">
        <v>139</v>
      </c>
      <c r="C18" s="50"/>
      <c r="D18" s="50"/>
      <c r="E18" s="50"/>
      <c r="F18" s="50"/>
      <c r="G18" s="50"/>
      <c r="H18" s="50"/>
      <c r="I18" s="50"/>
      <c r="J18" s="50"/>
      <c r="K18" s="50"/>
      <c r="L18" s="44"/>
      <c r="M18" s="44"/>
      <c r="N18" s="44"/>
    </row>
    <row r="19" ht="15.75" customHeight="1">
      <c r="B19" s="46" t="s">
        <v>140</v>
      </c>
      <c r="C19" s="51"/>
      <c r="D19" s="51"/>
      <c r="E19" s="51"/>
      <c r="F19" s="51"/>
      <c r="G19" s="51"/>
      <c r="H19" s="51"/>
      <c r="I19" s="51"/>
      <c r="J19" s="51"/>
      <c r="K19" s="51"/>
      <c r="L19" s="30"/>
      <c r="M19" s="30"/>
      <c r="N19" s="30"/>
    </row>
    <row r="20" ht="15.75" customHeight="1">
      <c r="B20" s="46" t="s">
        <v>131</v>
      </c>
      <c r="C20" s="49"/>
      <c r="D20" s="49"/>
      <c r="E20" s="49"/>
      <c r="F20" s="49"/>
      <c r="G20" s="49"/>
      <c r="H20" s="49"/>
      <c r="I20" s="49">
        <v>0.0</v>
      </c>
      <c r="J20" s="49"/>
      <c r="K20" s="49"/>
    </row>
    <row r="21" ht="15.75" customHeight="1">
      <c r="B21" s="46" t="s">
        <v>139</v>
      </c>
      <c r="C21" s="50"/>
      <c r="D21" s="50"/>
      <c r="E21" s="50"/>
      <c r="F21" s="50"/>
      <c r="G21" s="50"/>
      <c r="H21" s="50"/>
      <c r="I21" s="50"/>
      <c r="J21" s="50"/>
      <c r="K21" s="50"/>
    </row>
    <row r="22" ht="15.75" customHeight="1">
      <c r="B22" s="46" t="s">
        <v>141</v>
      </c>
      <c r="C22" s="51"/>
      <c r="D22" s="51"/>
      <c r="E22" s="51"/>
      <c r="F22" s="51"/>
      <c r="G22" s="51"/>
      <c r="H22" s="51"/>
      <c r="I22" s="51"/>
      <c r="J22" s="51"/>
      <c r="K22" s="51"/>
    </row>
    <row r="23" ht="15.75" customHeight="1">
      <c r="B23" s="46" t="s">
        <v>142</v>
      </c>
      <c r="C23" s="49"/>
      <c r="D23" s="49"/>
      <c r="E23" s="49"/>
      <c r="F23" s="49"/>
      <c r="G23" s="49"/>
      <c r="H23" s="49"/>
      <c r="I23" s="49">
        <v>0.0</v>
      </c>
      <c r="J23" s="49">
        <v>0.0</v>
      </c>
      <c r="K23" s="49"/>
    </row>
    <row r="24" ht="15.75" customHeight="1">
      <c r="B24" s="46" t="s">
        <v>143</v>
      </c>
      <c r="C24" s="50"/>
      <c r="D24" s="50"/>
      <c r="E24" s="50"/>
      <c r="F24" s="50"/>
      <c r="G24" s="50"/>
      <c r="H24" s="50"/>
      <c r="I24" s="50"/>
      <c r="J24" s="50"/>
      <c r="K24" s="50"/>
    </row>
    <row r="25" ht="15.75" customHeight="1">
      <c r="B25" s="46" t="s">
        <v>144</v>
      </c>
      <c r="C25" s="50"/>
      <c r="D25" s="50"/>
      <c r="E25" s="50"/>
      <c r="F25" s="50"/>
      <c r="G25" s="50"/>
      <c r="H25" s="50"/>
      <c r="I25" s="50"/>
      <c r="J25" s="50"/>
      <c r="K25" s="50"/>
    </row>
    <row r="26" ht="15.75" customHeight="1">
      <c r="B26" s="46" t="s">
        <v>145</v>
      </c>
      <c r="C26" s="51"/>
      <c r="D26" s="51"/>
      <c r="E26" s="51"/>
      <c r="F26" s="51"/>
      <c r="G26" s="51"/>
      <c r="H26" s="51"/>
      <c r="I26" s="51"/>
      <c r="J26" s="51"/>
      <c r="K26" s="51"/>
    </row>
    <row r="27" ht="15.75" customHeight="1">
      <c r="B27" s="46" t="s">
        <v>134</v>
      </c>
      <c r="C27" s="49"/>
      <c r="D27" s="49"/>
      <c r="E27" s="49"/>
      <c r="F27" s="49"/>
      <c r="G27" s="49"/>
      <c r="H27" s="49"/>
      <c r="I27" s="49"/>
      <c r="J27" s="49">
        <v>0.0</v>
      </c>
      <c r="K27" s="49">
        <v>0.0</v>
      </c>
    </row>
    <row r="28" ht="15.75" customHeight="1">
      <c r="B28" s="46" t="s">
        <v>146</v>
      </c>
      <c r="C28" s="51"/>
      <c r="D28" s="51"/>
      <c r="E28" s="51"/>
      <c r="F28" s="51"/>
      <c r="G28" s="51"/>
      <c r="H28" s="51"/>
      <c r="I28" s="51"/>
      <c r="J28" s="51"/>
      <c r="K28" s="51"/>
    </row>
    <row r="29" ht="15.75" customHeight="1">
      <c r="B29" s="46" t="s">
        <v>147</v>
      </c>
      <c r="C29" s="49"/>
      <c r="D29" s="49"/>
      <c r="E29" s="49"/>
      <c r="F29" s="49"/>
      <c r="G29" s="49"/>
      <c r="H29" s="49"/>
      <c r="I29" s="49"/>
      <c r="J29" s="49">
        <v>0.0</v>
      </c>
      <c r="K29" s="49">
        <v>0.0</v>
      </c>
    </row>
    <row r="30" ht="15.75" customHeight="1">
      <c r="B30" s="46" t="s">
        <v>148</v>
      </c>
      <c r="C30" s="51"/>
      <c r="D30" s="51"/>
      <c r="E30" s="51"/>
      <c r="F30" s="51"/>
      <c r="G30" s="51"/>
      <c r="H30" s="51"/>
      <c r="I30" s="51"/>
      <c r="J30" s="51"/>
      <c r="K30" s="51"/>
    </row>
    <row r="31" ht="15.75" customHeight="1">
      <c r="B31" s="46" t="s">
        <v>131</v>
      </c>
      <c r="C31" s="49"/>
      <c r="D31" s="49"/>
      <c r="E31" s="49"/>
      <c r="F31" s="49"/>
      <c r="G31" s="49"/>
      <c r="H31" s="49"/>
      <c r="I31" s="49"/>
      <c r="J31" s="49">
        <v>0.0</v>
      </c>
      <c r="K31" s="49"/>
    </row>
    <row r="32" ht="15.75" customHeight="1">
      <c r="B32" s="46" t="s">
        <v>143</v>
      </c>
      <c r="C32" s="50"/>
      <c r="D32" s="50"/>
      <c r="E32" s="50"/>
      <c r="F32" s="50"/>
      <c r="G32" s="50"/>
      <c r="H32" s="50"/>
      <c r="I32" s="50"/>
      <c r="J32" s="50"/>
      <c r="K32" s="50"/>
    </row>
    <row r="33" ht="15.75" customHeight="1">
      <c r="B33" s="46" t="s">
        <v>149</v>
      </c>
      <c r="C33" s="51"/>
      <c r="D33" s="51"/>
      <c r="E33" s="51"/>
      <c r="F33" s="51"/>
      <c r="G33" s="51"/>
      <c r="H33" s="51"/>
      <c r="I33" s="51"/>
      <c r="J33" s="51"/>
      <c r="K33" s="51"/>
    </row>
    <row r="34" ht="15.75" customHeight="1">
      <c r="B34" s="46" t="s">
        <v>130</v>
      </c>
      <c r="C34" s="49"/>
      <c r="D34" s="49"/>
      <c r="E34" s="49"/>
      <c r="F34" s="49"/>
      <c r="G34" s="49"/>
      <c r="H34" s="49"/>
      <c r="I34" s="49"/>
      <c r="J34" s="49">
        <v>0.0</v>
      </c>
      <c r="K34" s="49"/>
    </row>
    <row r="35" ht="15.75" customHeight="1">
      <c r="B35" s="46" t="s">
        <v>143</v>
      </c>
      <c r="C35" s="50"/>
      <c r="D35" s="50"/>
      <c r="E35" s="50"/>
      <c r="F35" s="50"/>
      <c r="G35" s="50"/>
      <c r="H35" s="50"/>
      <c r="I35" s="50"/>
      <c r="J35" s="50"/>
      <c r="K35" s="50"/>
    </row>
    <row r="36" ht="15.75" customHeight="1">
      <c r="B36" s="46" t="s">
        <v>150</v>
      </c>
      <c r="C36" s="51"/>
      <c r="D36" s="51"/>
      <c r="E36" s="51"/>
      <c r="F36" s="51"/>
      <c r="G36" s="51"/>
      <c r="H36" s="51"/>
      <c r="I36" s="51"/>
      <c r="J36" s="51"/>
      <c r="K36" s="51"/>
    </row>
    <row r="37" ht="15.75" customHeight="1">
      <c r="B37" s="46" t="s">
        <v>151</v>
      </c>
      <c r="C37" s="49"/>
      <c r="D37" s="49"/>
      <c r="E37" s="49"/>
      <c r="F37" s="49"/>
      <c r="G37" s="49"/>
      <c r="H37" s="49"/>
      <c r="I37" s="49"/>
      <c r="J37" s="49"/>
      <c r="K37" s="49">
        <v>0.0</v>
      </c>
    </row>
    <row r="38" ht="15.75" customHeight="1">
      <c r="B38" s="46" t="s">
        <v>152</v>
      </c>
      <c r="C38" s="50"/>
      <c r="D38" s="50"/>
      <c r="E38" s="50"/>
      <c r="F38" s="50"/>
      <c r="G38" s="50"/>
      <c r="H38" s="50"/>
      <c r="I38" s="50"/>
      <c r="J38" s="50"/>
      <c r="K38" s="50"/>
    </row>
    <row r="39" ht="15.75" customHeight="1">
      <c r="B39" s="46" t="s">
        <v>153</v>
      </c>
      <c r="C39" s="51"/>
      <c r="D39" s="51"/>
      <c r="E39" s="51"/>
      <c r="F39" s="51"/>
      <c r="G39" s="51"/>
      <c r="H39" s="51"/>
      <c r="I39" s="51"/>
      <c r="J39" s="51"/>
      <c r="K39" s="51"/>
    </row>
    <row r="40" ht="15.75" customHeight="1">
      <c r="B40" s="46" t="s">
        <v>154</v>
      </c>
      <c r="C40" s="49"/>
      <c r="D40" s="49"/>
      <c r="E40" s="49"/>
      <c r="F40" s="49"/>
      <c r="G40" s="49"/>
      <c r="H40" s="49"/>
      <c r="I40" s="49"/>
      <c r="J40" s="49"/>
      <c r="K40" s="49">
        <v>0.0</v>
      </c>
    </row>
    <row r="41" ht="15.75" customHeight="1">
      <c r="B41" s="46" t="s">
        <v>152</v>
      </c>
      <c r="C41" s="50"/>
      <c r="D41" s="50"/>
      <c r="E41" s="50"/>
      <c r="F41" s="50"/>
      <c r="G41" s="50"/>
      <c r="H41" s="50"/>
      <c r="I41" s="50"/>
      <c r="J41" s="50"/>
      <c r="K41" s="50"/>
    </row>
    <row r="42" ht="15.75" customHeight="1">
      <c r="B42" s="46" t="s">
        <v>155</v>
      </c>
      <c r="C42" s="51"/>
      <c r="D42" s="51"/>
      <c r="E42" s="51"/>
      <c r="F42" s="51"/>
      <c r="G42" s="51"/>
      <c r="H42" s="51"/>
      <c r="I42" s="51"/>
      <c r="J42" s="51"/>
      <c r="K42" s="51"/>
    </row>
    <row r="43" ht="15.75" customHeight="1">
      <c r="B43" s="46" t="s">
        <v>156</v>
      </c>
      <c r="C43" s="49"/>
      <c r="D43" s="49"/>
      <c r="E43" s="49"/>
      <c r="F43" s="49"/>
      <c r="G43" s="49"/>
      <c r="H43" s="49"/>
      <c r="I43" s="49"/>
      <c r="J43" s="49"/>
      <c r="K43" s="49">
        <v>0.0</v>
      </c>
    </row>
    <row r="44" ht="15.75" customHeight="1">
      <c r="B44" s="46" t="s">
        <v>152</v>
      </c>
      <c r="C44" s="50"/>
      <c r="D44" s="50"/>
      <c r="E44" s="50"/>
      <c r="F44" s="50"/>
      <c r="G44" s="50"/>
      <c r="H44" s="50"/>
      <c r="I44" s="50"/>
      <c r="J44" s="50"/>
      <c r="K44" s="50"/>
    </row>
    <row r="45" ht="15.75" customHeight="1">
      <c r="B45" s="46" t="s">
        <v>157</v>
      </c>
      <c r="C45" s="51"/>
      <c r="D45" s="51"/>
      <c r="E45" s="51"/>
      <c r="F45" s="51"/>
      <c r="G45" s="51"/>
      <c r="H45" s="51"/>
      <c r="I45" s="51"/>
      <c r="J45" s="51"/>
      <c r="K45" s="51"/>
    </row>
    <row r="46" ht="15.75" customHeight="1">
      <c r="B46" s="33" t="s">
        <v>158</v>
      </c>
      <c r="C46" s="35">
        <v>0.2726</v>
      </c>
      <c r="D46" s="35">
        <v>0.2814</v>
      </c>
      <c r="E46" s="35">
        <v>0.2657</v>
      </c>
      <c r="F46" s="35">
        <v>0.1862</v>
      </c>
      <c r="G46" s="35">
        <v>0.1217</v>
      </c>
      <c r="H46" s="35">
        <v>0.1082</v>
      </c>
      <c r="I46" s="35">
        <v>0.0945</v>
      </c>
      <c r="J46" s="35">
        <v>0.0944</v>
      </c>
      <c r="K46" s="35">
        <v>0.0938</v>
      </c>
    </row>
    <row r="47" ht="15.75" customHeight="1">
      <c r="B47" s="46" t="s">
        <v>159</v>
      </c>
      <c r="C47" s="37">
        <v>6.09</v>
      </c>
      <c r="D47" s="37">
        <v>6.58</v>
      </c>
      <c r="E47" s="37">
        <v>6.67</v>
      </c>
      <c r="F47" s="37">
        <v>6.67</v>
      </c>
      <c r="G47" s="37">
        <v>4.68</v>
      </c>
      <c r="H47" s="37"/>
      <c r="I47" s="37"/>
      <c r="J47" s="37"/>
      <c r="K47" s="37"/>
    </row>
    <row r="48" ht="15.75" customHeight="1">
      <c r="B48" s="46" t="s">
        <v>160</v>
      </c>
      <c r="C48" s="37">
        <v>3.64</v>
      </c>
      <c r="D48" s="37">
        <v>3.99</v>
      </c>
      <c r="E48" s="37">
        <v>3.33</v>
      </c>
      <c r="F48" s="37">
        <v>1.69</v>
      </c>
      <c r="G48" s="37"/>
      <c r="H48" s="37"/>
      <c r="I48" s="37"/>
      <c r="J48" s="37"/>
      <c r="K48" s="37"/>
    </row>
    <row r="49" ht="15.75" customHeight="1">
      <c r="B49" s="46" t="s">
        <v>161</v>
      </c>
      <c r="C49" s="37">
        <v>1.21</v>
      </c>
      <c r="D49" s="37">
        <v>1.38</v>
      </c>
      <c r="E49" s="37">
        <v>1.85</v>
      </c>
      <c r="F49" s="37"/>
      <c r="G49" s="37"/>
      <c r="H49" s="37"/>
      <c r="I49" s="37"/>
      <c r="J49" s="37"/>
      <c r="K49" s="37"/>
    </row>
    <row r="50" ht="15.75" customHeight="1">
      <c r="B50" s="46" t="s">
        <v>162</v>
      </c>
      <c r="C50" s="37"/>
      <c r="D50" s="37"/>
      <c r="E50" s="37"/>
      <c r="F50" s="37"/>
      <c r="G50" s="37"/>
      <c r="H50" s="37">
        <v>1.12</v>
      </c>
      <c r="I50" s="37"/>
      <c r="J50" s="37"/>
      <c r="K50" s="37"/>
    </row>
    <row r="51" ht="15.75" customHeight="1">
      <c r="B51" s="46" t="s">
        <v>163</v>
      </c>
      <c r="C51" s="37"/>
      <c r="D51" s="37">
        <v>1.0</v>
      </c>
      <c r="E51" s="37"/>
      <c r="F51" s="37"/>
      <c r="G51" s="37"/>
      <c r="H51" s="37"/>
      <c r="I51" s="37"/>
      <c r="J51" s="37"/>
      <c r="K51" s="37"/>
    </row>
    <row r="52" ht="15.75" customHeight="1">
      <c r="B52" s="46" t="s">
        <v>164</v>
      </c>
      <c r="C52" s="37"/>
      <c r="D52" s="37"/>
      <c r="E52" s="37">
        <v>1.0</v>
      </c>
      <c r="F52" s="37"/>
      <c r="G52" s="37"/>
      <c r="H52" s="37"/>
      <c r="I52" s="37"/>
      <c r="J52" s="37"/>
      <c r="K52" s="37"/>
    </row>
    <row r="53" ht="15.75" customHeight="1">
      <c r="B53" s="33" t="s">
        <v>165</v>
      </c>
      <c r="C53" s="35">
        <v>0.2341</v>
      </c>
      <c r="D53" s="35">
        <v>0.236</v>
      </c>
      <c r="E53" s="35">
        <v>0.2466</v>
      </c>
      <c r="F53" s="35">
        <v>0.2689</v>
      </c>
      <c r="G53" s="35">
        <v>0.2006</v>
      </c>
      <c r="H53" s="35">
        <v>0.1589</v>
      </c>
      <c r="I53" s="35">
        <v>0.1416</v>
      </c>
      <c r="J53" s="35">
        <v>0.1547</v>
      </c>
      <c r="K53" s="35">
        <v>0.1587</v>
      </c>
    </row>
    <row r="54" ht="15.75" customHeight="1">
      <c r="B54" s="46" t="s">
        <v>166</v>
      </c>
      <c r="C54" s="37">
        <v>12.28</v>
      </c>
      <c r="D54" s="37">
        <v>11.76</v>
      </c>
      <c r="E54" s="37">
        <v>7.75</v>
      </c>
      <c r="F54" s="37">
        <v>6.34</v>
      </c>
      <c r="G54" s="37">
        <v>5.14</v>
      </c>
      <c r="H54" s="37">
        <v>6.75</v>
      </c>
      <c r="I54" s="37">
        <v>7.52</v>
      </c>
      <c r="J54" s="37">
        <v>7.32</v>
      </c>
      <c r="K54" s="37">
        <v>2.96</v>
      </c>
    </row>
    <row r="55" ht="15.75" customHeight="1">
      <c r="B55" s="46" t="s">
        <v>167</v>
      </c>
      <c r="C55" s="37"/>
      <c r="D55" s="37"/>
      <c r="E55" s="37"/>
      <c r="F55" s="37">
        <v>8.07</v>
      </c>
      <c r="G55" s="37">
        <v>2.79</v>
      </c>
      <c r="H55" s="37"/>
      <c r="I55" s="37"/>
      <c r="J55" s="37"/>
      <c r="K55" s="37"/>
    </row>
    <row r="56" ht="15.75" customHeight="1">
      <c r="B56" s="46" t="s">
        <v>168</v>
      </c>
      <c r="C56" s="37"/>
      <c r="D56" s="37"/>
      <c r="E56" s="37">
        <v>4.21</v>
      </c>
      <c r="F56" s="37"/>
      <c r="G56" s="37"/>
      <c r="H56" s="37"/>
      <c r="I56" s="37"/>
      <c r="J56" s="37"/>
      <c r="K56" s="37"/>
    </row>
    <row r="57" ht="15.75" customHeight="1">
      <c r="B57" s="46" t="s">
        <v>169</v>
      </c>
      <c r="C57" s="37">
        <v>2.03</v>
      </c>
      <c r="D57" s="37">
        <v>3.01</v>
      </c>
      <c r="E57" s="37"/>
      <c r="F57" s="37"/>
      <c r="G57" s="37"/>
      <c r="H57" s="37"/>
      <c r="I57" s="37"/>
      <c r="J57" s="37"/>
      <c r="K57" s="37"/>
    </row>
    <row r="58" ht="15.75" customHeight="1">
      <c r="B58" s="46" t="s">
        <v>170</v>
      </c>
      <c r="C58" s="37">
        <v>2.48</v>
      </c>
      <c r="D58" s="37">
        <v>2.43</v>
      </c>
      <c r="E58" s="37">
        <v>2.0</v>
      </c>
      <c r="F58" s="37">
        <v>1.93</v>
      </c>
      <c r="G58" s="37"/>
      <c r="H58" s="37"/>
      <c r="I58" s="37"/>
      <c r="J58" s="37"/>
      <c r="K58" s="37"/>
    </row>
    <row r="59" ht="15.75" customHeight="1">
      <c r="B59" s="46" t="s">
        <v>171</v>
      </c>
      <c r="C59" s="37"/>
      <c r="D59" s="37"/>
      <c r="E59" s="37"/>
      <c r="F59" s="37"/>
      <c r="G59" s="37"/>
      <c r="H59" s="37"/>
      <c r="I59" s="37"/>
      <c r="J59" s="37">
        <v>1.56</v>
      </c>
      <c r="K59" s="37">
        <v>2.26</v>
      </c>
    </row>
    <row r="60" ht="15.75" customHeight="1">
      <c r="B60" s="46" t="s">
        <v>172</v>
      </c>
      <c r="C60" s="37"/>
      <c r="D60" s="37"/>
      <c r="E60" s="37"/>
      <c r="F60" s="37">
        <v>1.87</v>
      </c>
      <c r="G60" s="37"/>
      <c r="H60" s="37"/>
      <c r="I60" s="37"/>
      <c r="J60" s="37"/>
      <c r="K60" s="37"/>
    </row>
    <row r="61" ht="15.75" customHeight="1">
      <c r="B61" s="46" t="s">
        <v>173</v>
      </c>
      <c r="C61" s="37">
        <v>2.51</v>
      </c>
      <c r="D61" s="37">
        <v>2.42</v>
      </c>
      <c r="E61" s="37">
        <v>1.92</v>
      </c>
      <c r="F61" s="37">
        <v>1.73</v>
      </c>
      <c r="G61" s="37">
        <v>1.19</v>
      </c>
      <c r="H61" s="37"/>
      <c r="I61" s="37">
        <v>1.06</v>
      </c>
      <c r="J61" s="37"/>
      <c r="K61" s="37"/>
    </row>
    <row r="62" ht="15.75" customHeight="1">
      <c r="B62" s="46" t="s">
        <v>174</v>
      </c>
      <c r="C62" s="37"/>
      <c r="D62" s="37"/>
      <c r="E62" s="37">
        <v>1.74</v>
      </c>
      <c r="F62" s="37"/>
      <c r="G62" s="37"/>
      <c r="H62" s="37"/>
      <c r="I62" s="37"/>
      <c r="J62" s="37"/>
      <c r="K62" s="37"/>
    </row>
    <row r="63" ht="15.75" customHeight="1">
      <c r="B63" s="46" t="s">
        <v>175</v>
      </c>
      <c r="C63" s="37"/>
      <c r="D63" s="37"/>
      <c r="E63" s="37">
        <v>1.24</v>
      </c>
      <c r="F63" s="37"/>
      <c r="G63" s="37"/>
      <c r="H63" s="37"/>
      <c r="I63" s="37"/>
      <c r="J63" s="37"/>
      <c r="K63" s="37"/>
    </row>
    <row r="64" ht="15.75" customHeight="1">
      <c r="B64" s="46" t="s">
        <v>176</v>
      </c>
      <c r="C64" s="37"/>
      <c r="D64" s="37"/>
      <c r="E64" s="37"/>
      <c r="F64" s="37"/>
      <c r="G64" s="37"/>
      <c r="H64" s="37"/>
      <c r="I64" s="37"/>
      <c r="J64" s="37"/>
      <c r="K64" s="37">
        <v>1.22</v>
      </c>
    </row>
    <row r="65" ht="15.75" customHeight="1">
      <c r="B65" s="46" t="s">
        <v>177</v>
      </c>
      <c r="C65" s="37"/>
      <c r="D65" s="37"/>
      <c r="E65" s="37"/>
      <c r="F65" s="37">
        <v>1.21</v>
      </c>
      <c r="G65" s="37"/>
      <c r="H65" s="37">
        <v>1.22</v>
      </c>
      <c r="I65" s="37"/>
      <c r="J65" s="37"/>
      <c r="K65" s="37"/>
    </row>
    <row r="66" ht="15.75" customHeight="1">
      <c r="B66" s="46" t="s">
        <v>178</v>
      </c>
      <c r="C66" s="37"/>
      <c r="D66" s="37"/>
      <c r="E66" s="37"/>
      <c r="F66" s="37"/>
      <c r="G66" s="37"/>
      <c r="H66" s="37"/>
      <c r="I66" s="37"/>
      <c r="J66" s="37"/>
      <c r="K66" s="37">
        <v>1.2</v>
      </c>
    </row>
    <row r="67" ht="15.75" customHeight="1">
      <c r="B67" s="46" t="s">
        <v>179</v>
      </c>
      <c r="C67" s="37"/>
      <c r="D67" s="37"/>
      <c r="E67" s="37"/>
      <c r="F67" s="37">
        <v>1.34</v>
      </c>
      <c r="G67" s="37">
        <v>1.01</v>
      </c>
      <c r="H67" s="37"/>
      <c r="I67" s="37"/>
      <c r="J67" s="37"/>
      <c r="K67" s="37"/>
    </row>
    <row r="68" ht="15.75" customHeight="1">
      <c r="B68" s="46" t="s">
        <v>180</v>
      </c>
      <c r="C68" s="37"/>
      <c r="D68" s="37"/>
      <c r="E68" s="37"/>
      <c r="F68" s="37"/>
      <c r="G68" s="37"/>
      <c r="H68" s="37"/>
      <c r="I68" s="37"/>
      <c r="J68" s="37"/>
      <c r="K68" s="37">
        <v>1.02</v>
      </c>
    </row>
    <row r="69" ht="15.75" customHeight="1">
      <c r="B69" s="33" t="s">
        <v>181</v>
      </c>
      <c r="C69" s="35">
        <v>0.0013</v>
      </c>
      <c r="D69" s="35">
        <v>1.0E-4</v>
      </c>
      <c r="E69" s="35">
        <v>0.0026</v>
      </c>
      <c r="F69" s="35">
        <v>0.0095</v>
      </c>
      <c r="G69" s="35">
        <v>0.008</v>
      </c>
      <c r="H69" s="35">
        <v>0.0032</v>
      </c>
      <c r="I69" s="35">
        <v>0.0032</v>
      </c>
      <c r="J69" s="35">
        <v>0.0033</v>
      </c>
      <c r="K69" s="35">
        <v>0.0033</v>
      </c>
    </row>
    <row r="70" ht="15.75" customHeight="1">
      <c r="B70" s="33" t="s">
        <v>182</v>
      </c>
      <c r="C70" s="35">
        <v>0.1618</v>
      </c>
      <c r="D70" s="35">
        <v>0.1523</v>
      </c>
      <c r="E70" s="35">
        <v>0.1552</v>
      </c>
      <c r="F70" s="35">
        <v>0.1633</v>
      </c>
      <c r="G70" s="35">
        <v>0.2011</v>
      </c>
      <c r="H70" s="35">
        <v>0.2612</v>
      </c>
      <c r="I70" s="35">
        <v>0.2921</v>
      </c>
      <c r="J70" s="35">
        <v>0.2791</v>
      </c>
      <c r="K70" s="35">
        <v>0.2757</v>
      </c>
    </row>
    <row r="71" ht="15.75" customHeight="1">
      <c r="B71" s="33" t="s">
        <v>183</v>
      </c>
      <c r="C71" s="34">
        <v>288907.0</v>
      </c>
      <c r="D71" s="34">
        <v>319502.0</v>
      </c>
      <c r="E71" s="34">
        <v>326465.0</v>
      </c>
      <c r="F71" s="34">
        <v>358541.0</v>
      </c>
      <c r="G71" s="34">
        <v>986433.0</v>
      </c>
      <c r="H71" s="34">
        <v>3430598.0</v>
      </c>
      <c r="I71" s="34">
        <v>3890518.0</v>
      </c>
      <c r="J71" s="34">
        <v>4435226.0</v>
      </c>
      <c r="K71" s="34">
        <v>4667439.0</v>
      </c>
    </row>
    <row r="72" ht="15.75" customHeight="1">
      <c r="C72" s="52"/>
      <c r="D72" s="52"/>
      <c r="E72" s="52"/>
      <c r="F72" s="52"/>
      <c r="G72" s="52"/>
      <c r="H72" s="52"/>
      <c r="I72" s="52"/>
      <c r="J72" s="52"/>
      <c r="K72" s="52"/>
    </row>
    <row r="73" ht="15.75" customHeight="1">
      <c r="C73" s="52"/>
      <c r="D73" s="52"/>
      <c r="E73" s="52"/>
      <c r="F73" s="52"/>
      <c r="G73" s="52"/>
      <c r="H73" s="52"/>
      <c r="I73" s="52"/>
      <c r="J73" s="52"/>
      <c r="K73" s="52"/>
    </row>
    <row r="74" ht="15.75" customHeight="1">
      <c r="C74" s="52"/>
      <c r="D74" s="52"/>
      <c r="E74" s="52"/>
      <c r="F74" s="52"/>
      <c r="G74" s="52"/>
      <c r="H74" s="52"/>
      <c r="I74" s="52"/>
      <c r="J74" s="52"/>
      <c r="K74" s="52"/>
    </row>
    <row r="75" ht="15.75" customHeight="1">
      <c r="C75" s="52"/>
      <c r="D75" s="52"/>
      <c r="E75" s="52"/>
      <c r="F75" s="52"/>
      <c r="G75" s="52"/>
      <c r="H75" s="52"/>
      <c r="I75" s="52"/>
      <c r="J75" s="52"/>
      <c r="K75" s="52"/>
    </row>
    <row r="76" ht="15.75" customHeight="1">
      <c r="C76" s="52"/>
      <c r="D76" s="52"/>
      <c r="E76" s="52"/>
      <c r="F76" s="52"/>
      <c r="G76" s="52"/>
      <c r="H76" s="52"/>
      <c r="I76" s="52"/>
      <c r="J76" s="52"/>
      <c r="K76" s="52"/>
    </row>
    <row r="77" ht="15.75" customHeight="1">
      <c r="C77" s="52"/>
      <c r="D77" s="52"/>
      <c r="E77" s="52"/>
      <c r="F77" s="52"/>
      <c r="G77" s="52"/>
      <c r="H77" s="52"/>
      <c r="I77" s="52"/>
      <c r="J77" s="52"/>
      <c r="K77" s="52"/>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J27:J28"/>
    <mergeCell ref="K27:K28"/>
    <mergeCell ref="C27:C28"/>
    <mergeCell ref="D27:D28"/>
    <mergeCell ref="E27:E28"/>
    <mergeCell ref="F27:F28"/>
    <mergeCell ref="G27:G28"/>
    <mergeCell ref="H27:H28"/>
    <mergeCell ref="I27:I28"/>
    <mergeCell ref="J29:J30"/>
    <mergeCell ref="K29:K30"/>
    <mergeCell ref="C29:C30"/>
    <mergeCell ref="D29:D30"/>
    <mergeCell ref="E29:E30"/>
    <mergeCell ref="F29:F30"/>
    <mergeCell ref="G29:G30"/>
    <mergeCell ref="H29:H30"/>
    <mergeCell ref="I29:I30"/>
    <mergeCell ref="J31:J33"/>
    <mergeCell ref="K31:K33"/>
    <mergeCell ref="C31:C33"/>
    <mergeCell ref="D31:D33"/>
    <mergeCell ref="E31:E33"/>
    <mergeCell ref="F31:F33"/>
    <mergeCell ref="G31:G33"/>
    <mergeCell ref="H31:H33"/>
    <mergeCell ref="I31:I33"/>
    <mergeCell ref="J34:J36"/>
    <mergeCell ref="K34:K36"/>
    <mergeCell ref="C34:C36"/>
    <mergeCell ref="D34:D36"/>
    <mergeCell ref="E34:E36"/>
    <mergeCell ref="F34:F36"/>
    <mergeCell ref="G34:G36"/>
    <mergeCell ref="H34:H36"/>
    <mergeCell ref="I34:I36"/>
    <mergeCell ref="J37:J39"/>
    <mergeCell ref="K37:K39"/>
    <mergeCell ref="C37:C39"/>
    <mergeCell ref="D37:D39"/>
    <mergeCell ref="E37:E39"/>
    <mergeCell ref="F37:F39"/>
    <mergeCell ref="G37:G39"/>
    <mergeCell ref="H37:H39"/>
    <mergeCell ref="I37:I39"/>
    <mergeCell ref="J40:J42"/>
    <mergeCell ref="K40:K42"/>
    <mergeCell ref="C40:C42"/>
    <mergeCell ref="D40:D42"/>
    <mergeCell ref="E40:E42"/>
    <mergeCell ref="F40:F42"/>
    <mergeCell ref="G40:G42"/>
    <mergeCell ref="H40:H42"/>
    <mergeCell ref="I40:I42"/>
    <mergeCell ref="J17:J19"/>
    <mergeCell ref="K17:K19"/>
    <mergeCell ref="C17:C19"/>
    <mergeCell ref="D17:D19"/>
    <mergeCell ref="E17:E19"/>
    <mergeCell ref="F17:F19"/>
    <mergeCell ref="G17:G19"/>
    <mergeCell ref="H17:H19"/>
    <mergeCell ref="I17:I19"/>
    <mergeCell ref="J20:J22"/>
    <mergeCell ref="K20:K22"/>
    <mergeCell ref="C20:C22"/>
    <mergeCell ref="D20:D22"/>
    <mergeCell ref="E20:E22"/>
    <mergeCell ref="F20:F22"/>
    <mergeCell ref="G20:G22"/>
    <mergeCell ref="H20:H22"/>
    <mergeCell ref="I20:I22"/>
    <mergeCell ref="J23:J26"/>
    <mergeCell ref="K23:K26"/>
    <mergeCell ref="C23:C26"/>
    <mergeCell ref="D23:D26"/>
    <mergeCell ref="E23:E26"/>
    <mergeCell ref="F23:F26"/>
    <mergeCell ref="G23:G26"/>
    <mergeCell ref="H23:H26"/>
    <mergeCell ref="I23:I26"/>
    <mergeCell ref="J43:J45"/>
    <mergeCell ref="K43:K45"/>
    <mergeCell ref="C43:C45"/>
    <mergeCell ref="D43:D45"/>
    <mergeCell ref="E43:E45"/>
    <mergeCell ref="F43:F45"/>
    <mergeCell ref="G43:G45"/>
    <mergeCell ref="H43:H45"/>
    <mergeCell ref="I43:I45"/>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7"/>
    <hyperlink r:id="rId45" ref="B48"/>
    <hyperlink r:id="rId46" ref="B49"/>
    <hyperlink r:id="rId47" ref="B50"/>
    <hyperlink r:id="rId48" ref="B51"/>
    <hyperlink r:id="rId49" ref="B52"/>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s>
  <printOptions/>
  <pageMargins bottom="0.75" footer="0.0" header="0.0" left="0.7" right="0.7" top="0.75"/>
  <pageSetup orientation="landscape"/>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0.67"/>
    <col customWidth="1" min="2" max="2" width="32.11"/>
    <col customWidth="1" min="3" max="3" width="14.78"/>
    <col customWidth="1" min="4" max="4" width="14.67"/>
    <col customWidth="1" min="5" max="5" width="15.22"/>
    <col customWidth="1" min="6" max="6" width="14.78"/>
    <col customWidth="1" min="7" max="7" width="15.22"/>
    <col customWidth="1" min="8" max="8" width="17.89"/>
    <col customWidth="1" min="9" max="9" width="15.0"/>
    <col customWidth="1" min="10" max="10" width="16.11"/>
    <col customWidth="1" min="11" max="11" width="14.89"/>
    <col customWidth="1" min="12" max="12" width="15.22"/>
    <col customWidth="1" min="13" max="13" width="15.11"/>
    <col customWidth="1" min="14" max="14" width="20.44"/>
    <col customWidth="1" min="15" max="15" width="12.44"/>
    <col customWidth="1" min="16" max="16" width="40.33"/>
    <col customWidth="1" min="17" max="17" width="30.78"/>
    <col customWidth="1" min="18" max="18" width="138.33"/>
    <col customWidth="1" min="19" max="22" width="12.67"/>
    <col customWidth="1" min="23" max="23" width="17.67"/>
    <col customWidth="1" min="24" max="28" width="12.67"/>
  </cols>
  <sheetData>
    <row r="1" ht="15.75" customHeight="1">
      <c r="B1" s="53"/>
      <c r="C1" s="54">
        <v>41699.0</v>
      </c>
      <c r="D1" s="54">
        <v>42064.0</v>
      </c>
      <c r="E1" s="54">
        <v>42430.0</v>
      </c>
      <c r="F1" s="54">
        <v>42795.0</v>
      </c>
      <c r="G1" s="54">
        <v>43160.0</v>
      </c>
      <c r="H1" s="54">
        <v>43525.0</v>
      </c>
      <c r="I1" s="54">
        <v>43891.0</v>
      </c>
      <c r="J1" s="54">
        <v>44256.0</v>
      </c>
      <c r="K1" s="54">
        <v>44621.0</v>
      </c>
      <c r="L1" s="54">
        <v>44986.0</v>
      </c>
      <c r="M1" s="54">
        <v>45352.0</v>
      </c>
      <c r="N1" s="54">
        <v>45717.0</v>
      </c>
      <c r="O1" s="55" t="s">
        <v>184</v>
      </c>
      <c r="P1" s="56" t="s">
        <v>185</v>
      </c>
      <c r="Q1" s="56" t="s">
        <v>186</v>
      </c>
      <c r="R1" s="57" t="s">
        <v>187</v>
      </c>
      <c r="T1" s="58" t="s">
        <v>188</v>
      </c>
      <c r="U1" s="2"/>
      <c r="V1" s="2"/>
      <c r="W1" s="3"/>
    </row>
    <row r="2" ht="15.75" customHeight="1">
      <c r="A2" s="59"/>
      <c r="B2" s="60" t="s">
        <v>189</v>
      </c>
      <c r="C2" s="2"/>
      <c r="D2" s="2"/>
      <c r="E2" s="2"/>
      <c r="F2" s="2"/>
      <c r="G2" s="2"/>
      <c r="H2" s="2"/>
      <c r="I2" s="2"/>
      <c r="J2" s="2"/>
      <c r="K2" s="2"/>
      <c r="L2" s="2"/>
      <c r="M2" s="2"/>
      <c r="N2" s="2"/>
      <c r="O2" s="2"/>
      <c r="P2" s="2"/>
      <c r="Q2" s="2"/>
      <c r="R2" s="3"/>
    </row>
    <row r="3" ht="15.75" customHeight="1">
      <c r="A3" s="61"/>
      <c r="B3" s="62" t="s">
        <v>190</v>
      </c>
      <c r="C3" s="63">
        <f>'Profit and Loss Statement'!C18/'Profit and Loss Statement'!C3</f>
        <v>0.1105446118</v>
      </c>
      <c r="D3" s="63">
        <f>'Profit and Loss Statement'!D18/'Profit and Loss Statement'!D3</f>
        <v>0.1230506823</v>
      </c>
      <c r="E3" s="63">
        <f>'Profit and Loss Statement'!E18/'Profit and Loss Statement'!E3</f>
        <v>0.155908411</v>
      </c>
      <c r="F3" s="63">
        <f>'Profit and Loss Statement'!F18/'Profit and Loss Statement'!F3</f>
        <v>0.05748122473</v>
      </c>
      <c r="G3" s="63">
        <f>'Profit and Loss Statement'!G18/'Profit and Loss Statement'!G3</f>
        <v>-0.4180708505</v>
      </c>
      <c r="H3" s="63">
        <f>'Profit and Loss Statement'!H18/'Profit and Loss Statement'!H3</f>
        <v>0.2142943671</v>
      </c>
      <c r="I3" s="63">
        <f>'Profit and Loss Statement'!I18/'Profit and Loss Statement'!I3</f>
        <v>0.0191560963</v>
      </c>
      <c r="J3" s="63">
        <f>'Profit and Loss Statement'!J18/'Profit and Loss Statement'!J3</f>
        <v>0.02232515757</v>
      </c>
      <c r="K3" s="63">
        <f>'Profit and Loss Statement'!K18/'Profit and Loss Statement'!K3</f>
        <v>0.2505401512</v>
      </c>
      <c r="L3" s="63">
        <f>'Profit and Loss Statement'!L18/'Profit and Loss Statement'!L3</f>
        <v>0.1843411552</v>
      </c>
      <c r="M3" s="63">
        <f>'Profit and Loss Statement'!M18/'Profit and Loss Statement'!M3</f>
        <v>0.1109839247</v>
      </c>
      <c r="N3" s="63">
        <f>'Profit and Loss Statement'!N18/'Profit and Loss Statement'!N3</f>
        <v>0.1401225457</v>
      </c>
      <c r="O3" s="64">
        <v>13.72</v>
      </c>
      <c r="P3" s="65" t="s">
        <v>191</v>
      </c>
      <c r="Q3" s="66">
        <f>AVERAGE(C3:N3)</f>
        <v>0.08088978977</v>
      </c>
      <c r="R3" s="67" t="s">
        <v>192</v>
      </c>
    </row>
    <row r="4" ht="15.75" customHeight="1">
      <c r="A4" s="68"/>
      <c r="B4" s="69"/>
      <c r="C4" s="70" t="s">
        <v>193</v>
      </c>
      <c r="D4" s="71" t="s">
        <v>193</v>
      </c>
      <c r="E4" s="71" t="s">
        <v>194</v>
      </c>
      <c r="F4" s="71" t="s">
        <v>193</v>
      </c>
      <c r="G4" s="71" t="s">
        <v>195</v>
      </c>
      <c r="H4" s="71" t="s">
        <v>194</v>
      </c>
      <c r="I4" s="71" t="s">
        <v>195</v>
      </c>
      <c r="J4" s="71" t="s">
        <v>195</v>
      </c>
      <c r="K4" s="71" t="s">
        <v>194</v>
      </c>
      <c r="L4" s="71" t="s">
        <v>194</v>
      </c>
      <c r="M4" s="71" t="s">
        <v>193</v>
      </c>
      <c r="N4" s="71" t="s">
        <v>194</v>
      </c>
      <c r="O4" s="69"/>
      <c r="P4" s="72"/>
      <c r="Q4" s="73"/>
      <c r="R4" s="69"/>
    </row>
    <row r="5" ht="15.75" customHeight="1">
      <c r="A5" s="74"/>
      <c r="B5" s="62" t="s">
        <v>196</v>
      </c>
      <c r="C5" s="75">
        <f>'Profit and Loss Statement'!C10</f>
        <v>0.27</v>
      </c>
      <c r="D5" s="75">
        <f>'Profit and Loss Statement'!D10</f>
        <v>0.21</v>
      </c>
      <c r="E5" s="75">
        <f>'Profit and Loss Statement'!E10</f>
        <v>0.34</v>
      </c>
      <c r="F5" s="75">
        <f>'Profit and Loss Statement'!F10</f>
        <v>0.29</v>
      </c>
      <c r="G5" s="75">
        <f>'Profit and Loss Statement'!G10</f>
        <v>0.3</v>
      </c>
      <c r="H5" s="75">
        <f>'Profit and Loss Statement'!H10</f>
        <v>0.08</v>
      </c>
      <c r="I5" s="75">
        <f>'Profit and Loss Statement'!I10</f>
        <v>0.27</v>
      </c>
      <c r="J5" s="75">
        <f>'Profit and Loss Statement'!J10</f>
        <v>0.23</v>
      </c>
      <c r="K5" s="75">
        <f>'Profit and Loss Statement'!K10</f>
        <v>0.15</v>
      </c>
      <c r="L5" s="75">
        <f>'Profit and Loss Statement'!L10</f>
        <v>0.15</v>
      </c>
      <c r="M5" s="75">
        <f>'Profit and Loss Statement'!M10</f>
        <v>0.19</v>
      </c>
      <c r="N5" s="75">
        <f>'Profit and Loss Statement'!N10</f>
        <v>0.2</v>
      </c>
      <c r="O5" s="76">
        <v>0.2973</v>
      </c>
      <c r="P5" s="65" t="s">
        <v>197</v>
      </c>
      <c r="Q5" s="66">
        <f>AVERAGE(C5:N5)</f>
        <v>0.2233333333</v>
      </c>
      <c r="R5" s="67" t="s">
        <v>198</v>
      </c>
    </row>
    <row r="6" ht="15.75" customHeight="1">
      <c r="A6" s="74"/>
      <c r="B6" s="69"/>
      <c r="C6" s="70" t="s">
        <v>193</v>
      </c>
      <c r="D6" s="71" t="s">
        <v>193</v>
      </c>
      <c r="E6" s="71" t="s">
        <v>194</v>
      </c>
      <c r="F6" s="71" t="s">
        <v>193</v>
      </c>
      <c r="G6" s="71" t="s">
        <v>193</v>
      </c>
      <c r="H6" s="71" t="s">
        <v>195</v>
      </c>
      <c r="I6" s="71" t="s">
        <v>193</v>
      </c>
      <c r="J6" s="71" t="s">
        <v>193</v>
      </c>
      <c r="K6" s="71" t="s">
        <v>195</v>
      </c>
      <c r="L6" s="71" t="s">
        <v>195</v>
      </c>
      <c r="M6" s="71" t="s">
        <v>193</v>
      </c>
      <c r="N6" s="71" t="s">
        <v>193</v>
      </c>
      <c r="O6" s="69"/>
      <c r="P6" s="72"/>
      <c r="Q6" s="73"/>
      <c r="R6" s="69"/>
    </row>
    <row r="7" ht="15.75" customHeight="1">
      <c r="A7" s="77"/>
      <c r="B7" s="62" t="s">
        <v>199</v>
      </c>
      <c r="C7" s="75">
        <f>'Profit and Loss Statement'!C18/'Balance Sheet'!C36</f>
        <v>0.0312387439</v>
      </c>
      <c r="D7" s="75">
        <f>'Profit and Loss Statement'!D18/'Balance Sheet'!D36</f>
        <v>0.03009445487</v>
      </c>
      <c r="E7" s="75">
        <f>'Profit and Loss Statement'!E18/'Balance Sheet'!E36</f>
        <v>0.03914487939</v>
      </c>
      <c r="F7" s="75">
        <f>'Profit and Loss Statement'!F18/'Balance Sheet'!F36</f>
        <v>0.009747257053</v>
      </c>
      <c r="G7" s="75">
        <f>'Profit and Loss Statement'!G18/'Balance Sheet'!G36</f>
        <v>-0.08632403704</v>
      </c>
      <c r="H7" s="75">
        <f>'Profit and Loss Statement'!H18/'Balance Sheet'!H36</f>
        <v>0.0463878327</v>
      </c>
      <c r="I7" s="75">
        <f>'Profit and Loss Statement'!I18/'Balance Sheet'!I36</f>
        <v>0.003934495959</v>
      </c>
      <c r="J7" s="75">
        <f>'Profit and Loss Statement'!J18/'Balance Sheet'!J36</f>
        <v>0.006613280547</v>
      </c>
      <c r="K7" s="75">
        <f>'Profit and Loss Statement'!K18/'Balance Sheet'!K36</f>
        <v>0.05902063495</v>
      </c>
      <c r="L7" s="75">
        <f>'Profit and Loss Statement'!L18/'Balance Sheet'!L36</f>
        <v>0.06783883088</v>
      </c>
      <c r="M7" s="75">
        <f>'Profit and Loss Statement'!M18/'Balance Sheet'!M36</f>
        <v>0.0441680366</v>
      </c>
      <c r="N7" s="75">
        <f>'Profit and Loss Statement'!N18/'Balance Sheet'!N36</f>
        <v>0.05951182448</v>
      </c>
      <c r="O7" s="78">
        <v>0.0262</v>
      </c>
      <c r="P7" s="65" t="s">
        <v>200</v>
      </c>
      <c r="Q7" s="66">
        <f>AVERAGE(C7:N7)</f>
        <v>0.02594801953</v>
      </c>
      <c r="R7" s="67" t="s">
        <v>201</v>
      </c>
      <c r="S7" s="79"/>
      <c r="T7" s="79"/>
    </row>
    <row r="8" ht="15.75" customHeight="1">
      <c r="B8" s="69"/>
      <c r="C8" s="80" t="s">
        <v>193</v>
      </c>
      <c r="D8" s="81" t="s">
        <v>193</v>
      </c>
      <c r="E8" s="81" t="s">
        <v>193</v>
      </c>
      <c r="F8" s="81" t="s">
        <v>195</v>
      </c>
      <c r="G8" s="81" t="s">
        <v>195</v>
      </c>
      <c r="H8" s="81" t="s">
        <v>193</v>
      </c>
      <c r="I8" s="81" t="s">
        <v>195</v>
      </c>
      <c r="J8" s="81" t="s">
        <v>195</v>
      </c>
      <c r="K8" s="81" t="s">
        <v>194</v>
      </c>
      <c r="L8" s="81" t="s">
        <v>194</v>
      </c>
      <c r="M8" s="81" t="s">
        <v>193</v>
      </c>
      <c r="N8" s="81" t="s">
        <v>194</v>
      </c>
      <c r="O8" s="69"/>
      <c r="P8" s="72"/>
      <c r="Q8" s="73"/>
      <c r="R8" s="69"/>
    </row>
    <row r="9" ht="15.75" customHeight="1">
      <c r="B9" s="62" t="s">
        <v>202</v>
      </c>
      <c r="C9" s="82">
        <f>'Profit and Loss Statement'!C9/('Balance Sheet'!C4+'Balance Sheet'!C3+'Balance Sheet'!C5)</f>
        <v>0.09464204569</v>
      </c>
      <c r="D9" s="82">
        <f>'Profit and Loss Statement'!D9/('Balance Sheet'!D4+'Balance Sheet'!D3+'Balance Sheet'!D5)</f>
        <v>0.06299271437</v>
      </c>
      <c r="E9" s="82">
        <f>'Profit and Loss Statement'!E9/('Balance Sheet'!E4+'Balance Sheet'!E3+'Balance Sheet'!E5)</f>
        <v>0.1114037398</v>
      </c>
      <c r="F9" s="82">
        <f>'Profit and Loss Statement'!F9/('Balance Sheet'!F4+'Balance Sheet'!F3+'Balance Sheet'!F5)</f>
        <v>0.05973712041</v>
      </c>
      <c r="G9" s="82">
        <f>'Profit and Loss Statement'!G9/('Balance Sheet'!G4+'Balance Sheet'!G3+'Balance Sheet'!G5)</f>
        <v>0.07699854528</v>
      </c>
      <c r="H9" s="82">
        <f>'Profit and Loss Statement'!H9/('Balance Sheet'!H4+'Balance Sheet'!H3+'Balance Sheet'!H5)</f>
        <v>0.02087985034</v>
      </c>
      <c r="I9" s="82">
        <f>'Profit and Loss Statement'!I9/('Balance Sheet'!I4+'Balance Sheet'!I3+'Balance Sheet'!I5)</f>
        <v>0.06322356187</v>
      </c>
      <c r="J9" s="82">
        <f>'Profit and Loss Statement'!J9/('Balance Sheet'!J4+'Balance Sheet'!J3+'Balance Sheet'!J5)</f>
        <v>0.08034727278</v>
      </c>
      <c r="K9" s="82">
        <f>'Profit and Loss Statement'!K9/('Balance Sheet'!K4+'Balance Sheet'!K3+'Balance Sheet'!K5)</f>
        <v>0.04260410435</v>
      </c>
      <c r="L9" s="82">
        <f>'Profit and Loss Statement'!L9/('Balance Sheet'!L4+'Balance Sheet'!L3+'Balance Sheet'!L5)</f>
        <v>0.06983428276</v>
      </c>
      <c r="M9" s="82">
        <f>'Profit and Loss Statement'!M9/('Balance Sheet'!M4+'Balance Sheet'!M3+'Balance Sheet'!M5)</f>
        <v>0.1014036093</v>
      </c>
      <c r="N9" s="82">
        <f>'Profit and Loss Statement'!N9/('Balance Sheet'!N4+'Balance Sheet'!N3+'Balance Sheet'!N5)</f>
        <v>0.1145139467</v>
      </c>
      <c r="O9" s="83">
        <v>0.0869</v>
      </c>
      <c r="P9" s="65" t="s">
        <v>203</v>
      </c>
      <c r="Q9" s="66">
        <f>AVERAGE(C9:N9)</f>
        <v>0.0748817328</v>
      </c>
      <c r="R9" s="67" t="s">
        <v>204</v>
      </c>
    </row>
    <row r="10" ht="15.75" customHeight="1">
      <c r="B10" s="69"/>
      <c r="C10" s="84" t="s">
        <v>193</v>
      </c>
      <c r="D10" s="85" t="s">
        <v>195</v>
      </c>
      <c r="E10" s="85" t="s">
        <v>194</v>
      </c>
      <c r="F10" s="85" t="s">
        <v>195</v>
      </c>
      <c r="G10" s="85" t="s">
        <v>195</v>
      </c>
      <c r="H10" s="85" t="s">
        <v>195</v>
      </c>
      <c r="I10" s="85" t="s">
        <v>195</v>
      </c>
      <c r="J10" s="85" t="s">
        <v>193</v>
      </c>
      <c r="K10" s="85" t="s">
        <v>195</v>
      </c>
      <c r="L10" s="85" t="s">
        <v>195</v>
      </c>
      <c r="M10" s="85" t="s">
        <v>193</v>
      </c>
      <c r="N10" s="85" t="s">
        <v>194</v>
      </c>
      <c r="O10" s="69"/>
      <c r="P10" s="72"/>
      <c r="Q10" s="73"/>
      <c r="R10" s="69"/>
    </row>
    <row r="11" ht="15.75" customHeight="1">
      <c r="B11" s="62" t="s">
        <v>205</v>
      </c>
      <c r="C11" s="86">
        <f>'Profit and Loss Statement'!C18/('Balance Sheet'!C3+'Balance Sheet'!C4)</f>
        <v>0.07267464005</v>
      </c>
      <c r="D11" s="86">
        <f>'Profit and Loss Statement'!D18/('Balance Sheet'!D3+'Balance Sheet'!D4)</f>
        <v>0.06421668362</v>
      </c>
      <c r="E11" s="86">
        <f>'Profit and Loss Statement'!E18/('Balance Sheet'!E3+'Balance Sheet'!E4)</f>
        <v>0.08827361564</v>
      </c>
      <c r="F11" s="86">
        <f>'Profit and Loss Statement'!F18/('Balance Sheet'!F3+'Balance Sheet'!F4)</f>
        <v>0.02398890965</v>
      </c>
      <c r="G11" s="86">
        <f>'Profit and Loss Statement'!G18/('Balance Sheet'!G3+'Balance Sheet'!G4)</f>
        <v>-0.2426085617</v>
      </c>
      <c r="H11" s="86">
        <f>'Profit and Loss Statement'!H18/('Balance Sheet'!H3+'Balance Sheet'!H4)</f>
        <v>0.112754159</v>
      </c>
      <c r="I11" s="86">
        <f>'Profit and Loss Statement'!I18/('Balance Sheet'!I3+'Balance Sheet'!I4)</f>
        <v>0.00969792281</v>
      </c>
      <c r="J11" s="86">
        <f>'Profit and Loss Statement'!J18/('Balance Sheet'!J3+'Balance Sheet'!J4)</f>
        <v>0.02976009718</v>
      </c>
      <c r="K11" s="86">
        <f>'Profit and Loss Statement'!K18/('Balance Sheet'!K3+'Balance Sheet'!K4)</f>
        <v>0.2557904412</v>
      </c>
      <c r="L11" s="86">
        <f>'Profit and Loss Statement'!L18/('Balance Sheet'!L3+'Balance Sheet'!L4)</f>
        <v>0.238540146</v>
      </c>
      <c r="M11" s="86">
        <f>'Profit and Loss Statement'!M18/('Balance Sheet'!M3+'Balance Sheet'!M4)</f>
        <v>0.1412465163</v>
      </c>
      <c r="N11" s="86">
        <f>'Profit and Loss Statement'!N18/('Balance Sheet'!N3+'Balance Sheet'!N4)</f>
        <v>0.1705869542</v>
      </c>
      <c r="O11" s="78">
        <v>0.0746</v>
      </c>
      <c r="P11" s="87" t="s">
        <v>206</v>
      </c>
      <c r="Q11" s="66">
        <f>AVERAGE(C11:N11)</f>
        <v>0.08041012699</v>
      </c>
      <c r="R11" s="67" t="s">
        <v>207</v>
      </c>
    </row>
    <row r="12" ht="15.75" customHeight="1">
      <c r="B12" s="69"/>
      <c r="C12" s="88" t="s">
        <v>193</v>
      </c>
      <c r="D12" s="89" t="s">
        <v>193</v>
      </c>
      <c r="E12" s="89" t="s">
        <v>193</v>
      </c>
      <c r="F12" s="89" t="s">
        <v>195</v>
      </c>
      <c r="G12" s="89" t="s">
        <v>195</v>
      </c>
      <c r="H12" s="89" t="s">
        <v>193</v>
      </c>
      <c r="I12" s="89" t="s">
        <v>195</v>
      </c>
      <c r="J12" s="89" t="s">
        <v>195</v>
      </c>
      <c r="K12" s="89" t="s">
        <v>194</v>
      </c>
      <c r="L12" s="89" t="s">
        <v>194</v>
      </c>
      <c r="M12" s="89" t="s">
        <v>194</v>
      </c>
      <c r="N12" s="89" t="s">
        <v>194</v>
      </c>
      <c r="O12" s="69"/>
      <c r="P12" s="72"/>
      <c r="Q12" s="73"/>
      <c r="R12" s="69"/>
    </row>
    <row r="13" ht="15.75" customHeight="1">
      <c r="B13" s="62" t="s">
        <v>208</v>
      </c>
      <c r="C13" s="90">
        <f>'Profit and Loss Statement'!C24</f>
        <v>0.31</v>
      </c>
      <c r="D13" s="91">
        <f>'Profit and Loss Statement'!D24</f>
        <v>0.35</v>
      </c>
      <c r="E13" s="91">
        <f>'Profit and Loss Statement'!E24</f>
        <v>0.26</v>
      </c>
      <c r="F13" s="91">
        <f>'Profit and Loss Statement'!F24</f>
        <v>0.88</v>
      </c>
      <c r="G13" s="91">
        <f>'Profit and Loss Statement'!G24</f>
        <v>-0.11</v>
      </c>
      <c r="H13" s="91">
        <f>'Profit and Loss Statement'!H24</f>
        <v>0.2</v>
      </c>
      <c r="I13" s="91">
        <f>'Profit and Loss Statement'!I24</f>
        <v>2.83</v>
      </c>
      <c r="J13" s="91">
        <f>'Profit and Loss Statement'!J24</f>
        <v>1.69</v>
      </c>
      <c r="K13" s="91">
        <f>'Profit and Loss Statement'!K24</f>
        <v>0.2</v>
      </c>
      <c r="L13" s="91">
        <f>'Profit and Loss Statement'!L24</f>
        <v>0.2</v>
      </c>
      <c r="M13" s="91">
        <f>'Profit and Loss Statement'!M24</f>
        <v>0.29</v>
      </c>
      <c r="N13" s="91">
        <f>'Profit and Loss Statement'!N24</f>
        <v>0.26</v>
      </c>
      <c r="O13" s="76">
        <v>0.0</v>
      </c>
      <c r="P13" s="65" t="s">
        <v>197</v>
      </c>
      <c r="Q13" s="92">
        <f>AVERAGE(C13:N13)</f>
        <v>0.6133333333</v>
      </c>
      <c r="R13" s="67" t="s">
        <v>209</v>
      </c>
    </row>
    <row r="14" ht="15.75" customHeight="1">
      <c r="B14" s="69"/>
      <c r="C14" s="89" t="s">
        <v>193</v>
      </c>
      <c r="D14" s="89" t="s">
        <v>195</v>
      </c>
      <c r="E14" s="89" t="s">
        <v>194</v>
      </c>
      <c r="F14" s="89" t="s">
        <v>195</v>
      </c>
      <c r="G14" s="89" t="s">
        <v>195</v>
      </c>
      <c r="H14" s="89" t="s">
        <v>194</v>
      </c>
      <c r="I14" s="89" t="s">
        <v>195</v>
      </c>
      <c r="J14" s="89" t="s">
        <v>195</v>
      </c>
      <c r="K14" s="89" t="s">
        <v>194</v>
      </c>
      <c r="L14" s="89" t="s">
        <v>194</v>
      </c>
      <c r="M14" s="89" t="s">
        <v>194</v>
      </c>
      <c r="N14" s="89" t="s">
        <v>194</v>
      </c>
      <c r="O14" s="69"/>
      <c r="P14" s="72"/>
      <c r="Q14" s="73"/>
      <c r="R14" s="69"/>
    </row>
    <row r="15" ht="15.75" customHeight="1">
      <c r="B15" s="62" t="s">
        <v>210</v>
      </c>
      <c r="C15" s="93">
        <f t="shared" ref="C15:N15" si="1">C17/C11</f>
        <v>21.05273585</v>
      </c>
      <c r="D15" s="93">
        <f t="shared" si="1"/>
        <v>20.71112871</v>
      </c>
      <c r="E15" s="93">
        <f t="shared" si="1"/>
        <v>12.91439114</v>
      </c>
      <c r="F15" s="93">
        <f t="shared" si="1"/>
        <v>61.69517588</v>
      </c>
      <c r="G15" s="93">
        <f t="shared" si="1"/>
        <v>-6.801079023</v>
      </c>
      <c r="H15" s="93">
        <f t="shared" si="1"/>
        <v>12.50508197</v>
      </c>
      <c r="I15" s="93">
        <f t="shared" si="1"/>
        <v>67.02466216</v>
      </c>
      <c r="J15" s="93">
        <f t="shared" si="1"/>
        <v>65.52397959</v>
      </c>
      <c r="K15" s="93">
        <f t="shared" si="1"/>
        <v>27.44434064</v>
      </c>
      <c r="L15" s="93">
        <f t="shared" si="1"/>
        <v>18.61321909</v>
      </c>
      <c r="M15" s="93">
        <f t="shared" si="1"/>
        <v>56.49696861</v>
      </c>
      <c r="N15" s="93">
        <f t="shared" si="1"/>
        <v>38.27959783</v>
      </c>
      <c r="O15" s="64">
        <v>34.8</v>
      </c>
      <c r="P15" s="65" t="s">
        <v>211</v>
      </c>
      <c r="Q15" s="94">
        <f>AVERAGE(C15:N15)</f>
        <v>32.95501687</v>
      </c>
      <c r="R15" s="67" t="s">
        <v>212</v>
      </c>
    </row>
    <row r="16" ht="15.75" customHeight="1">
      <c r="B16" s="69"/>
      <c r="C16" s="89" t="s">
        <v>193</v>
      </c>
      <c r="D16" s="89" t="s">
        <v>193</v>
      </c>
      <c r="E16" s="89" t="s">
        <v>194</v>
      </c>
      <c r="F16" s="89" t="s">
        <v>195</v>
      </c>
      <c r="G16" s="89" t="s">
        <v>195</v>
      </c>
      <c r="H16" s="89" t="s">
        <v>194</v>
      </c>
      <c r="I16" s="89" t="s">
        <v>195</v>
      </c>
      <c r="J16" s="89" t="s">
        <v>195</v>
      </c>
      <c r="K16" s="89" t="s">
        <v>193</v>
      </c>
      <c r="L16" s="89" t="s">
        <v>193</v>
      </c>
      <c r="M16" s="89" t="s">
        <v>195</v>
      </c>
      <c r="N16" s="89" t="s">
        <v>193</v>
      </c>
      <c r="O16" s="69"/>
      <c r="P16" s="72"/>
      <c r="Q16" s="73"/>
      <c r="R16" s="69"/>
    </row>
    <row r="17" ht="15.75" customHeight="1">
      <c r="B17" s="62" t="s">
        <v>213</v>
      </c>
      <c r="C17" s="93">
        <v>1.53</v>
      </c>
      <c r="D17" s="93">
        <v>1.33</v>
      </c>
      <c r="E17" s="95">
        <v>1.14</v>
      </c>
      <c r="F17" s="95">
        <v>1.48</v>
      </c>
      <c r="G17" s="95">
        <v>1.65</v>
      </c>
      <c r="H17" s="95">
        <v>1.41</v>
      </c>
      <c r="I17" s="95">
        <v>0.65</v>
      </c>
      <c r="J17" s="95">
        <v>1.95</v>
      </c>
      <c r="K17" s="95">
        <v>7.02</v>
      </c>
      <c r="L17" s="95">
        <v>4.44</v>
      </c>
      <c r="M17" s="95">
        <v>7.98</v>
      </c>
      <c r="N17" s="95">
        <v>6.53</v>
      </c>
      <c r="O17" s="64">
        <v>2.41</v>
      </c>
      <c r="P17" s="65" t="s">
        <v>197</v>
      </c>
      <c r="Q17" s="94">
        <f>AVERAGE(C17:N17)</f>
        <v>3.0925</v>
      </c>
      <c r="R17" s="67" t="s">
        <v>214</v>
      </c>
      <c r="S17" s="79"/>
      <c r="T17" s="79"/>
      <c r="U17" s="79"/>
      <c r="V17" s="79"/>
      <c r="W17" s="79"/>
      <c r="X17" s="79"/>
      <c r="Y17" s="79"/>
      <c r="Z17" s="79"/>
    </row>
    <row r="18" ht="15.75" customHeight="1">
      <c r="B18" s="69"/>
      <c r="C18" s="89" t="s">
        <v>193</v>
      </c>
      <c r="D18" s="89" t="s">
        <v>193</v>
      </c>
      <c r="E18" s="89" t="s">
        <v>195</v>
      </c>
      <c r="F18" s="89" t="s">
        <v>193</v>
      </c>
      <c r="G18" s="89" t="s">
        <v>193</v>
      </c>
      <c r="H18" s="89" t="s">
        <v>193</v>
      </c>
      <c r="I18" s="89" t="s">
        <v>195</v>
      </c>
      <c r="J18" s="89" t="s">
        <v>193</v>
      </c>
      <c r="K18" s="89" t="s">
        <v>194</v>
      </c>
      <c r="L18" s="89" t="s">
        <v>194</v>
      </c>
      <c r="M18" s="89" t="s">
        <v>194</v>
      </c>
      <c r="N18" s="89" t="s">
        <v>194</v>
      </c>
      <c r="O18" s="69"/>
      <c r="P18" s="69"/>
      <c r="Q18" s="73"/>
      <c r="R18" s="69"/>
      <c r="S18" s="79"/>
      <c r="T18" s="79"/>
      <c r="U18" s="79"/>
      <c r="V18" s="79"/>
      <c r="W18" s="79"/>
      <c r="X18" s="79"/>
      <c r="Y18" s="79"/>
      <c r="Z18" s="79"/>
      <c r="AB18" s="79"/>
    </row>
    <row r="19" ht="15.75" customHeight="1">
      <c r="B19" s="96"/>
      <c r="C19" s="2"/>
      <c r="D19" s="2"/>
      <c r="E19" s="2"/>
      <c r="F19" s="2"/>
      <c r="G19" s="2"/>
      <c r="H19" s="2"/>
      <c r="I19" s="2"/>
      <c r="J19" s="2"/>
      <c r="K19" s="2"/>
      <c r="L19" s="2"/>
      <c r="M19" s="2"/>
      <c r="N19" s="2"/>
      <c r="O19" s="2"/>
      <c r="P19" s="2"/>
      <c r="Q19" s="2"/>
      <c r="R19" s="3"/>
      <c r="S19" s="79"/>
      <c r="T19" s="79"/>
      <c r="U19" s="79"/>
      <c r="V19" s="79"/>
      <c r="W19" s="79"/>
      <c r="X19" s="79"/>
      <c r="Y19" s="79"/>
      <c r="Z19" s="79"/>
    </row>
    <row r="20" ht="15.75" customHeight="1">
      <c r="B20" s="97" t="s">
        <v>215</v>
      </c>
      <c r="C20" s="2"/>
      <c r="D20" s="2"/>
      <c r="E20" s="2"/>
      <c r="F20" s="2"/>
      <c r="G20" s="2"/>
      <c r="H20" s="2"/>
      <c r="I20" s="2"/>
      <c r="J20" s="2"/>
      <c r="K20" s="2"/>
      <c r="L20" s="2"/>
      <c r="M20" s="2"/>
      <c r="N20" s="2"/>
      <c r="O20" s="2"/>
      <c r="P20" s="2"/>
      <c r="Q20" s="2"/>
      <c r="R20" s="3"/>
    </row>
    <row r="21" ht="15.75" customHeight="1">
      <c r="B21" s="98" t="s">
        <v>216</v>
      </c>
      <c r="C21" s="99">
        <f>(SUM('Balance Sheet'!C30:C34))/SUM('Balance Sheet'!C11:C13)</f>
        <v>1.390240051</v>
      </c>
      <c r="D21" s="99">
        <f>(SUM('Balance Sheet'!D30:D34))/SUM('Balance Sheet'!D11:D13)</f>
        <v>1.494777108</v>
      </c>
      <c r="E21" s="99">
        <f>(SUM('Balance Sheet'!E30:E34))/SUM('Balance Sheet'!E11:E13)</f>
        <v>1.430616055</v>
      </c>
      <c r="F21" s="99">
        <f>(SUM('Balance Sheet'!F30:F34))/SUM('Balance Sheet'!F11:F13)</f>
        <v>1.149301965</v>
      </c>
      <c r="G21" s="99">
        <f>(SUM('Balance Sheet'!G30:G34))/SUM('Balance Sheet'!G11:G13)</f>
        <v>1.400403284</v>
      </c>
      <c r="H21" s="99">
        <f>(SUM('Balance Sheet'!H30:H34))/SUM('Balance Sheet'!H11:H13)</f>
        <v>1.767628205</v>
      </c>
      <c r="I21" s="99">
        <f>(SUM('Balance Sheet'!I30:I34))/SUM('Balance Sheet'!I11:I13)</f>
        <v>1.83224146</v>
      </c>
      <c r="J21" s="99">
        <f>(SUM('Balance Sheet'!J30:J34))/SUM('Balance Sheet'!J11:J13)</f>
        <v>1.280168318</v>
      </c>
      <c r="K21" s="99">
        <f>(SUM('Balance Sheet'!K30:K34))/SUM('Balance Sheet'!K11:K13)</f>
        <v>1.339765679</v>
      </c>
      <c r="L21" s="99">
        <f>(SUM('Balance Sheet'!L30:L34))/SUM('Balance Sheet'!L11:L13)</f>
        <v>1.156600021</v>
      </c>
      <c r="M21" s="99">
        <f>(SUM('Balance Sheet'!M30:M34))/SUM('Balance Sheet'!M11:M13)</f>
        <v>0.9712985939</v>
      </c>
      <c r="N21" s="99">
        <f>(SUM('Balance Sheet'!N30:N34))/SUM('Balance Sheet'!N11:N13)</f>
        <v>0.8989728437</v>
      </c>
      <c r="O21" s="64">
        <v>1.27</v>
      </c>
      <c r="P21" s="100" t="s">
        <v>217</v>
      </c>
      <c r="Q21" s="94">
        <f>AVERAGE(C21:N21)</f>
        <v>1.342667799</v>
      </c>
      <c r="R21" s="101" t="s">
        <v>218</v>
      </c>
    </row>
    <row r="22" ht="15.75" customHeight="1">
      <c r="B22" s="69"/>
      <c r="C22" s="102" t="s">
        <v>193</v>
      </c>
      <c r="D22" s="103" t="s">
        <v>193</v>
      </c>
      <c r="E22" s="103" t="s">
        <v>193</v>
      </c>
      <c r="F22" s="103" t="s">
        <v>193</v>
      </c>
      <c r="G22" s="103" t="s">
        <v>193</v>
      </c>
      <c r="H22" s="103" t="s">
        <v>194</v>
      </c>
      <c r="I22" s="103" t="s">
        <v>194</v>
      </c>
      <c r="J22" s="103" t="s">
        <v>193</v>
      </c>
      <c r="K22" s="103" t="s">
        <v>193</v>
      </c>
      <c r="L22" s="103" t="s">
        <v>193</v>
      </c>
      <c r="M22" s="103" t="s">
        <v>195</v>
      </c>
      <c r="N22" s="103" t="s">
        <v>195</v>
      </c>
      <c r="O22" s="104"/>
      <c r="P22" s="94"/>
      <c r="Q22" s="94"/>
      <c r="R22" s="105"/>
    </row>
    <row r="23" ht="15.75" customHeight="1">
      <c r="B23" s="98" t="s">
        <v>219</v>
      </c>
      <c r="C23" s="99">
        <f>(SUM('Balance Sheet'!C30:C34)-'Balance Sheet'!C30)/SUM('Balance Sheet'!C11:C13)</f>
        <v>1.277953253</v>
      </c>
      <c r="D23" s="99">
        <f>(SUM('Balance Sheet'!D30:D34)-'Balance Sheet'!D30)/SUM('Balance Sheet'!D11:D13)</f>
        <v>1.396351331</v>
      </c>
      <c r="E23" s="99">
        <f>(SUM('Balance Sheet'!E30:E34)-'Balance Sheet'!E30)/SUM('Balance Sheet'!E11:E13)</f>
        <v>1.34486621</v>
      </c>
      <c r="F23" s="99">
        <f>(SUM('Balance Sheet'!F30:F34)-'Balance Sheet'!F30)/SUM('Balance Sheet'!F11:F13)</f>
        <v>1.062564633</v>
      </c>
      <c r="G23" s="99">
        <f>(SUM('Balance Sheet'!G30:G34)-'Balance Sheet'!G30)/SUM('Balance Sheet'!G11:G13)</f>
        <v>1.332133084</v>
      </c>
      <c r="H23" s="99">
        <f>(SUM('Balance Sheet'!H30:H34)-'Balance Sheet'!H30)/SUM('Balance Sheet'!H11:H13)</f>
        <v>1.651442308</v>
      </c>
      <c r="I23" s="99">
        <f>(SUM('Balance Sheet'!I30:I34)-'Balance Sheet'!I30)/SUM('Balance Sheet'!I11:I13)</f>
        <v>1.683668694</v>
      </c>
      <c r="J23" s="99">
        <f>(SUM('Balance Sheet'!J30:J34)-'Balance Sheet'!J30)/SUM('Balance Sheet'!J11:J13)</f>
        <v>1.11985883</v>
      </c>
      <c r="K23" s="99">
        <f>(SUM('Balance Sheet'!K30:K34)-'Balance Sheet'!K30)/SUM('Balance Sheet'!K11:K13)</f>
        <v>1.076498966</v>
      </c>
      <c r="L23" s="99">
        <f>(SUM('Balance Sheet'!L30:L34)-'Balance Sheet'!L30)/SUM('Balance Sheet'!L11:L13)</f>
        <v>0.8992986496</v>
      </c>
      <c r="M23" s="99">
        <f>(SUM('Balance Sheet'!M30:M34)-'Balance Sheet'!M30)/SUM('Balance Sheet'!M11:M13)</f>
        <v>0.7959470637</v>
      </c>
      <c r="N23" s="99">
        <f>(SUM('Balance Sheet'!N30:N34)-'Balance Sheet'!N30)/SUM('Balance Sheet'!N11:N13)</f>
        <v>0.7284367525</v>
      </c>
      <c r="O23" s="64">
        <v>1.08</v>
      </c>
      <c r="P23" s="100" t="s">
        <v>220</v>
      </c>
      <c r="Q23" s="94">
        <f>AVERAGE(C23:N23)</f>
        <v>1.197418315</v>
      </c>
      <c r="R23" s="101" t="s">
        <v>221</v>
      </c>
    </row>
    <row r="24" ht="15.75" customHeight="1">
      <c r="B24" s="69"/>
      <c r="C24" s="106" t="s">
        <v>193</v>
      </c>
      <c r="D24" s="106" t="s">
        <v>193</v>
      </c>
      <c r="E24" s="106" t="s">
        <v>193</v>
      </c>
      <c r="F24" s="106" t="s">
        <v>193</v>
      </c>
      <c r="G24" s="106" t="s">
        <v>193</v>
      </c>
      <c r="H24" s="106" t="s">
        <v>194</v>
      </c>
      <c r="I24" s="106" t="s">
        <v>194</v>
      </c>
      <c r="J24" s="106" t="s">
        <v>193</v>
      </c>
      <c r="K24" s="106" t="s">
        <v>193</v>
      </c>
      <c r="L24" s="106" t="s">
        <v>222</v>
      </c>
      <c r="M24" s="106" t="s">
        <v>195</v>
      </c>
      <c r="N24" s="106" t="s">
        <v>195</v>
      </c>
      <c r="O24" s="104"/>
      <c r="P24" s="94"/>
      <c r="Q24" s="94"/>
      <c r="R24" s="105"/>
    </row>
    <row r="25" ht="15.75" customHeight="1">
      <c r="B25" s="96"/>
      <c r="C25" s="2"/>
      <c r="D25" s="2"/>
      <c r="E25" s="2"/>
      <c r="F25" s="2"/>
      <c r="G25" s="2"/>
      <c r="H25" s="2"/>
      <c r="I25" s="2"/>
      <c r="J25" s="2"/>
      <c r="K25" s="2"/>
      <c r="L25" s="2"/>
      <c r="M25" s="2"/>
      <c r="N25" s="2"/>
      <c r="O25" s="2"/>
      <c r="P25" s="2"/>
      <c r="Q25" s="2"/>
      <c r="R25" s="3"/>
    </row>
    <row r="26" ht="15.75" customHeight="1">
      <c r="B26" s="107" t="s">
        <v>223</v>
      </c>
      <c r="C26" s="2"/>
      <c r="D26" s="2"/>
      <c r="E26" s="2"/>
      <c r="F26" s="2"/>
      <c r="G26" s="2"/>
      <c r="H26" s="2"/>
      <c r="I26" s="2"/>
      <c r="J26" s="2"/>
      <c r="K26" s="2"/>
      <c r="L26" s="2"/>
      <c r="M26" s="2"/>
      <c r="N26" s="2"/>
      <c r="O26" s="2"/>
      <c r="P26" s="2"/>
      <c r="Q26" s="2"/>
      <c r="R26" s="3"/>
    </row>
    <row r="27" ht="15.75" customHeight="1">
      <c r="B27" s="108" t="s">
        <v>224</v>
      </c>
      <c r="C27" s="93">
        <f>('Balance Sheet'!C6+'Balance Sheet'!C7)/('Balance Sheet'!C4+'Balance Sheet'!C3)</f>
        <v>0.6670221681</v>
      </c>
      <c r="D27" s="93">
        <f>('Balance Sheet'!D6+'Balance Sheet'!D7)/('Balance Sheet'!D4+'Balance Sheet'!D3)</f>
        <v>0.6714776195</v>
      </c>
      <c r="E27" s="93">
        <f>('Balance Sheet'!E6+'Balance Sheet'!E7)/('Balance Sheet'!E4+'Balance Sheet'!E3)</f>
        <v>0.6834527687</v>
      </c>
      <c r="F27" s="93">
        <f>('Balance Sheet'!F6+'Balance Sheet'!F7)/('Balance Sheet'!F4+'Balance Sheet'!F3)</f>
        <v>0.6774757399</v>
      </c>
      <c r="G27" s="93">
        <f>('Balance Sheet'!G6+'Balance Sheet'!G7)/('Balance Sheet'!G4+'Balance Sheet'!G3)</f>
        <v>0.9585771481</v>
      </c>
      <c r="H27" s="93">
        <f>('Balance Sheet'!H6+'Balance Sheet'!H7)/('Balance Sheet'!H4+'Balance Sheet'!H3)</f>
        <v>0.9868060425</v>
      </c>
      <c r="I27" s="93">
        <f>('Balance Sheet'!I6+'Balance Sheet'!I7)/('Balance Sheet'!I4+'Balance Sheet'!I3)</f>
        <v>1.050848568</v>
      </c>
      <c r="J27" s="93">
        <f>('Balance Sheet'!J6+'Balance Sheet'!J7)/('Balance Sheet'!J4+'Balance Sheet'!J3)</f>
        <v>2.47606033</v>
      </c>
      <c r="K27" s="93">
        <f>('Balance Sheet'!K6+'Balance Sheet'!K7)/('Balance Sheet'!K4+'Balance Sheet'!K3)</f>
        <v>2.270955882</v>
      </c>
      <c r="L27" s="93">
        <f>('Balance Sheet'!L6+'Balance Sheet'!L7)/('Balance Sheet'!L4+'Balance Sheet'!L3)</f>
        <v>1.595985401</v>
      </c>
      <c r="M27" s="93">
        <f>('Balance Sheet'!M6+'Balance Sheet'!M7)/('Balance Sheet'!M4+'Balance Sheet'!M3)</f>
        <v>1.236762098</v>
      </c>
      <c r="N27" s="93">
        <f>('Balance Sheet'!N6+'Balance Sheet'!N7)/('Balance Sheet'!N4+'Balance Sheet'!N3)</f>
        <v>0.9240988784</v>
      </c>
      <c r="O27" s="64">
        <v>0.7</v>
      </c>
      <c r="P27" s="100" t="s">
        <v>225</v>
      </c>
      <c r="Q27" s="94">
        <f>AVERAGE(C27:N27)</f>
        <v>1.183293554</v>
      </c>
      <c r="R27" s="109" t="s">
        <v>226</v>
      </c>
    </row>
    <row r="28" ht="15.75" customHeight="1">
      <c r="B28" s="69"/>
      <c r="C28" s="110" t="s">
        <v>227</v>
      </c>
      <c r="D28" s="103" t="s">
        <v>227</v>
      </c>
      <c r="E28" s="103" t="s">
        <v>227</v>
      </c>
      <c r="F28" s="103" t="s">
        <v>227</v>
      </c>
      <c r="G28" s="103" t="s">
        <v>227</v>
      </c>
      <c r="H28" s="103" t="s">
        <v>227</v>
      </c>
      <c r="I28" s="103" t="s">
        <v>227</v>
      </c>
      <c r="J28" s="103" t="s">
        <v>228</v>
      </c>
      <c r="K28" s="103" t="s">
        <v>228</v>
      </c>
      <c r="L28" s="103" t="s">
        <v>228</v>
      </c>
      <c r="M28" s="103" t="s">
        <v>228</v>
      </c>
      <c r="N28" s="103" t="s">
        <v>227</v>
      </c>
      <c r="O28" s="104"/>
      <c r="P28" s="94"/>
      <c r="Q28" s="94"/>
      <c r="R28" s="105"/>
    </row>
    <row r="29" ht="15.75" customHeight="1">
      <c r="B29" s="108" t="s">
        <v>229</v>
      </c>
      <c r="C29" s="93">
        <f>'Balance Sheet'!C5/'Balance Sheet'!C36</f>
        <v>0.3628147615</v>
      </c>
      <c r="D29" s="93">
        <f>'Balance Sheet'!D5/'Balance Sheet'!D36</f>
        <v>0.3288638598</v>
      </c>
      <c r="E29" s="93">
        <f>'Balance Sheet'!E5/'Balance Sheet'!E36</f>
        <v>0.3243969377</v>
      </c>
      <c r="F29" s="93">
        <f>'Balance Sheet'!F5/'Balance Sheet'!F36</f>
        <v>0.40419279</v>
      </c>
      <c r="G29" s="93">
        <f>'Balance Sheet'!G5/'Balance Sheet'!G36</f>
        <v>0.4539751247</v>
      </c>
      <c r="H29" s="93">
        <f>'Balance Sheet'!H5/'Balance Sheet'!H36</f>
        <v>0.4576635637</v>
      </c>
      <c r="I29" s="93">
        <f>'Balance Sheet'!I5/'Balance Sheet'!I36</f>
        <v>0.4806731178</v>
      </c>
      <c r="J29" s="93">
        <f>'Balance Sheet'!J5/'Balance Sheet'!J36</f>
        <v>0.6120658629</v>
      </c>
      <c r="K29" s="93">
        <f>'Balance Sheet'!K5/'Balance Sheet'!K36</f>
        <v>0.5846287617</v>
      </c>
      <c r="L29" s="93">
        <f>'Balance Sheet'!L5/'Balance Sheet'!L36</f>
        <v>0.5173022232</v>
      </c>
      <c r="M29" s="93">
        <f>'Balance Sheet'!M5/'Balance Sheet'!M36</f>
        <v>0.4478797362</v>
      </c>
      <c r="N29" s="93">
        <f>'Balance Sheet'!N5/'Balance Sheet'!N36</f>
        <v>0.381156805</v>
      </c>
      <c r="O29" s="64">
        <v>0.23</v>
      </c>
      <c r="P29" s="94" t="s">
        <v>230</v>
      </c>
      <c r="Q29" s="94">
        <f>AVERAGE(C29:N29)</f>
        <v>0.4463011287</v>
      </c>
      <c r="R29" s="101" t="s">
        <v>231</v>
      </c>
    </row>
    <row r="30" ht="15.75" customHeight="1">
      <c r="B30" s="69"/>
      <c r="C30" s="103" t="s">
        <v>227</v>
      </c>
      <c r="D30" s="103" t="s">
        <v>227</v>
      </c>
      <c r="E30" s="103" t="s">
        <v>227</v>
      </c>
      <c r="F30" s="103" t="s">
        <v>227</v>
      </c>
      <c r="G30" s="103" t="s">
        <v>227</v>
      </c>
      <c r="H30" s="103" t="s">
        <v>227</v>
      </c>
      <c r="I30" s="103" t="s">
        <v>227</v>
      </c>
      <c r="J30" s="103" t="s">
        <v>232</v>
      </c>
      <c r="K30" s="103" t="s">
        <v>232</v>
      </c>
      <c r="L30" s="103" t="s">
        <v>232</v>
      </c>
      <c r="M30" s="103" t="s">
        <v>227</v>
      </c>
      <c r="N30" s="103" t="s">
        <v>227</v>
      </c>
      <c r="O30" s="104"/>
      <c r="P30" s="94"/>
      <c r="Q30" s="94"/>
      <c r="R30" s="111"/>
    </row>
    <row r="31" ht="15.75" customHeight="1">
      <c r="B31" s="108" t="s">
        <v>233</v>
      </c>
      <c r="C31" s="93">
        <f>'Profit and Loss Statement'!C9/'Profit and Loss Statement'!C14</f>
        <v>2.639400922</v>
      </c>
      <c r="D31" s="93">
        <f>'Profit and Loss Statement'!D9/'Profit and Loss Statement'!D14</f>
        <v>1.610315186</v>
      </c>
      <c r="E31" s="93">
        <f>'Profit and Loss Statement'!E9/'Profit and Loss Statement'!E14</f>
        <v>2.583769634</v>
      </c>
      <c r="F31" s="93">
        <f>'Profit and Loss Statement'!F9/'Profit and Loss Statement'!F14</f>
        <v>1.498862775</v>
      </c>
      <c r="G31" s="93">
        <f>'Profit and Loss Statement'!G9/'Profit and Loss Statement'!G14</f>
        <v>1.590496157</v>
      </c>
      <c r="H31" s="93">
        <f>'Profit and Loss Statement'!H9/'Profit and Loss Statement'!H14</f>
        <v>0.4613333333</v>
      </c>
      <c r="I31" s="93">
        <f>'Profit and Loss Statement'!I9/'Profit and Loss Statement'!I14</f>
        <v>1.39602649</v>
      </c>
      <c r="J31" s="93">
        <f>'Profit and Loss Statement'!J9/'Profit and Loss Statement'!J14</f>
        <v>1.193432119</v>
      </c>
      <c r="K31" s="93">
        <f>'Profit and Loss Statement'!K9/'Profit and Loss Statement'!K14</f>
        <v>0.748286889</v>
      </c>
      <c r="L31" s="93">
        <f>'Profit and Loss Statement'!L9/'Profit and Loss Statement'!L14</f>
        <v>1.211046251</v>
      </c>
      <c r="M31" s="93">
        <f>'Profit and Loss Statement'!M9/'Profit and Loss Statement'!M14</f>
        <v>1.72529907</v>
      </c>
      <c r="N31" s="93">
        <f>'Profit and Loss Statement'!N9/'Profit and Loss Statement'!N14</f>
        <v>2.10071599</v>
      </c>
      <c r="O31" s="64">
        <v>2.8</v>
      </c>
      <c r="P31" s="94" t="s">
        <v>234</v>
      </c>
      <c r="Q31" s="94">
        <f>AVERAGE(C31:N31)</f>
        <v>1.563248735</v>
      </c>
      <c r="R31" s="101" t="s">
        <v>235</v>
      </c>
    </row>
    <row r="32" ht="15.75" customHeight="1">
      <c r="B32" s="69"/>
      <c r="C32" s="106" t="s">
        <v>193</v>
      </c>
      <c r="D32" s="106" t="s">
        <v>193</v>
      </c>
      <c r="E32" s="106" t="s">
        <v>193</v>
      </c>
      <c r="F32" s="106" t="s">
        <v>193</v>
      </c>
      <c r="G32" s="106" t="s">
        <v>193</v>
      </c>
      <c r="H32" s="106" t="s">
        <v>195</v>
      </c>
      <c r="I32" s="106" t="s">
        <v>195</v>
      </c>
      <c r="J32" s="106" t="s">
        <v>195</v>
      </c>
      <c r="K32" s="106" t="s">
        <v>195</v>
      </c>
      <c r="L32" s="106" t="s">
        <v>195</v>
      </c>
      <c r="M32" s="106" t="s">
        <v>195</v>
      </c>
      <c r="N32" s="106" t="s">
        <v>193</v>
      </c>
      <c r="O32" s="104"/>
      <c r="P32" s="94"/>
      <c r="Q32" s="94"/>
      <c r="R32" s="111"/>
    </row>
    <row r="33" ht="15.75" customHeight="1">
      <c r="B33" s="108" t="s">
        <v>236</v>
      </c>
      <c r="C33" s="93">
        <f>'Balance Sheet'!C3/'Balance Sheet'!C36</f>
        <v>0.007760568453</v>
      </c>
      <c r="D33" s="93">
        <f>'Balance Sheet'!D3/'Balance Sheet'!D36</f>
        <v>0.008045052293</v>
      </c>
      <c r="E33" s="93">
        <f>'Balance Sheet'!E3/'Balance Sheet'!E36</f>
        <v>0.007800086668</v>
      </c>
      <c r="F33" s="93">
        <f>'Balance Sheet'!F3/'Balance Sheet'!F36</f>
        <v>0.006612460815</v>
      </c>
      <c r="G33" s="93">
        <f>'Balance Sheet'!G3/'Balance Sheet'!G36</f>
        <v>0.007396854967</v>
      </c>
      <c r="H33" s="93">
        <f>'Balance Sheet'!H3/'Balance Sheet'!H36</f>
        <v>0.007080110135</v>
      </c>
      <c r="I33" s="93">
        <f>'Balance Sheet'!I3/'Balance Sheet'!I36</f>
        <v>0.007177796682</v>
      </c>
      <c r="J33" s="93">
        <f>'Balance Sheet'!J3/'Balance Sheet'!J36</f>
        <v>0.007198128487</v>
      </c>
      <c r="K33" s="93">
        <f>'Balance Sheet'!K3/'Balance Sheet'!K36</f>
        <v>0.00678641868</v>
      </c>
      <c r="L33" s="93">
        <f>'Balance Sheet'!L3/'Balance Sheet'!L36</f>
        <v>0.006642725178</v>
      </c>
      <c r="M33" s="93">
        <f>'Balance Sheet'!M3/'Balance Sheet'!M36</f>
        <v>0.006338014221</v>
      </c>
      <c r="N33" s="93">
        <f>'Balance Sheet'!N3/'Balance Sheet'!N36</f>
        <v>0.006078449995</v>
      </c>
      <c r="O33" s="64">
        <v>0.0286</v>
      </c>
      <c r="P33" s="94" t="s">
        <v>237</v>
      </c>
      <c r="Q33" s="94">
        <f>AVERAGE(C33:N33)</f>
        <v>0.007076388881</v>
      </c>
      <c r="R33" s="101" t="s">
        <v>238</v>
      </c>
    </row>
    <row r="34" ht="15.75" customHeight="1">
      <c r="B34" s="69"/>
      <c r="C34" s="112" t="s">
        <v>195</v>
      </c>
      <c r="D34" s="112" t="s">
        <v>195</v>
      </c>
      <c r="E34" s="112" t="s">
        <v>195</v>
      </c>
      <c r="F34" s="112" t="s">
        <v>195</v>
      </c>
      <c r="G34" s="112" t="s">
        <v>195</v>
      </c>
      <c r="H34" s="112" t="s">
        <v>195</v>
      </c>
      <c r="I34" s="112" t="s">
        <v>195</v>
      </c>
      <c r="J34" s="112" t="s">
        <v>195</v>
      </c>
      <c r="K34" s="112" t="s">
        <v>195</v>
      </c>
      <c r="L34" s="112" t="s">
        <v>195</v>
      </c>
      <c r="M34" s="112" t="s">
        <v>195</v>
      </c>
      <c r="N34" s="112" t="s">
        <v>195</v>
      </c>
      <c r="O34" s="104"/>
      <c r="P34" s="94"/>
      <c r="Q34" s="94"/>
      <c r="R34" s="105"/>
    </row>
    <row r="35" ht="15.75" customHeight="1">
      <c r="B35" s="96"/>
      <c r="C35" s="2"/>
      <c r="D35" s="2"/>
      <c r="E35" s="2"/>
      <c r="F35" s="2"/>
      <c r="G35" s="2"/>
      <c r="H35" s="2"/>
      <c r="I35" s="2"/>
      <c r="J35" s="2"/>
      <c r="K35" s="2"/>
      <c r="L35" s="2"/>
      <c r="M35" s="2"/>
      <c r="N35" s="2"/>
      <c r="O35" s="2"/>
      <c r="P35" s="2"/>
      <c r="Q35" s="2"/>
      <c r="R35" s="3"/>
    </row>
    <row r="36" ht="15.75" customHeight="1">
      <c r="B36" s="113" t="s">
        <v>239</v>
      </c>
      <c r="C36" s="2"/>
      <c r="D36" s="2"/>
      <c r="E36" s="2"/>
      <c r="F36" s="2"/>
      <c r="G36" s="2"/>
      <c r="H36" s="2"/>
      <c r="I36" s="2"/>
      <c r="J36" s="2"/>
      <c r="K36" s="2"/>
      <c r="L36" s="2"/>
      <c r="M36" s="2"/>
      <c r="N36" s="2"/>
      <c r="O36" s="2"/>
      <c r="P36" s="2"/>
      <c r="Q36" s="2"/>
      <c r="R36" s="3"/>
    </row>
    <row r="37" ht="15.75" customHeight="1">
      <c r="B37" s="114" t="s">
        <v>240</v>
      </c>
      <c r="C37" s="93">
        <f>'Profit and Loss Statement'!C3/'Balance Sheet'!C38</f>
        <v>12.13783404</v>
      </c>
      <c r="D37" s="93">
        <f>'Profit and Loss Statement'!D3/'Balance Sheet'!D38</f>
        <v>11.89565217</v>
      </c>
      <c r="E37" s="93">
        <f>'Profit and Loss Statement'!E3/'Balance Sheet'!E38</f>
        <v>12.79970545</v>
      </c>
      <c r="F37" s="93">
        <f>'Profit and Loss Statement'!F3/'Balance Sheet'!F38</f>
        <v>10.18235294</v>
      </c>
      <c r="G37" s="93">
        <f>'Profit and Loss Statement'!G3/'Balance Sheet'!G38</f>
        <v>13.1650655</v>
      </c>
      <c r="H37" s="93">
        <f>'Profit and Loss Statement'!H3/'Balance Sheet'!H38</f>
        <v>15.66413662</v>
      </c>
      <c r="I37" s="93">
        <f>'Profit and Loss Statement'!I3/'Balance Sheet'!I38</f>
        <v>12.71769547</v>
      </c>
      <c r="J37" s="93">
        <f>'Profit and Loss Statement'!J3/'Balance Sheet'!J38</f>
        <v>14.50330396</v>
      </c>
      <c r="K37" s="93">
        <f>'Profit and Loss Statement'!K3/'Balance Sheet'!K38</f>
        <v>6.396775122</v>
      </c>
      <c r="L37" s="93">
        <f>'Profit and Loss Statement'!L3/'Balance Sheet'!L38</f>
        <v>7.464421053</v>
      </c>
      <c r="M37" s="93">
        <f>'Profit and Loss Statement'!M3/'Balance Sheet'!M38</f>
        <v>8.778069026</v>
      </c>
      <c r="N37" s="93">
        <f>'Profit and Loss Statement'!N3/'Balance Sheet'!N38</f>
        <v>9.841109155</v>
      </c>
      <c r="O37" s="64">
        <v>2.0</v>
      </c>
      <c r="P37" s="73"/>
      <c r="Q37" s="94">
        <f>AVERAGE(C37:N37)</f>
        <v>11.29551004</v>
      </c>
      <c r="R37" s="101" t="s">
        <v>241</v>
      </c>
    </row>
    <row r="38" ht="15.75" customHeight="1">
      <c r="B38" s="69"/>
      <c r="C38" s="112" t="s">
        <v>194</v>
      </c>
      <c r="D38" s="112" t="s">
        <v>194</v>
      </c>
      <c r="E38" s="112" t="s">
        <v>194</v>
      </c>
      <c r="F38" s="112" t="s">
        <v>194</v>
      </c>
      <c r="G38" s="112" t="s">
        <v>194</v>
      </c>
      <c r="H38" s="112" t="s">
        <v>194</v>
      </c>
      <c r="I38" s="112" t="s">
        <v>194</v>
      </c>
      <c r="J38" s="112" t="s">
        <v>194</v>
      </c>
      <c r="K38" s="112" t="s">
        <v>194</v>
      </c>
      <c r="L38" s="112" t="s">
        <v>194</v>
      </c>
      <c r="M38" s="112" t="s">
        <v>194</v>
      </c>
      <c r="N38" s="112" t="s">
        <v>194</v>
      </c>
      <c r="O38" s="104"/>
      <c r="P38" s="94"/>
      <c r="Q38" s="94"/>
      <c r="R38" s="111"/>
    </row>
    <row r="39" ht="15.75" customHeight="1">
      <c r="B39" s="114" t="s">
        <v>242</v>
      </c>
      <c r="C39" s="94">
        <f>'Profit and Loss Statement'!C3/'Balance Sheet'!C35</f>
        <v>6.537878788</v>
      </c>
      <c r="D39" s="94">
        <f>'Profit and Loss Statement'!D3/'Balance Sheet'!D35</f>
        <v>5.668508287</v>
      </c>
      <c r="E39" s="94">
        <f>'Profit and Loss Statement'!E3/'Balance Sheet'!E35</f>
        <v>6.601595139</v>
      </c>
      <c r="F39" s="94">
        <f>'Profit and Loss Statement'!F3/'Balance Sheet'!F35</f>
        <v>6.041884817</v>
      </c>
      <c r="G39" s="94">
        <f>'Profit and Loss Statement'!G3/'Balance Sheet'!G35</f>
        <v>6.83008609</v>
      </c>
      <c r="H39" s="94">
        <f>'Profit and Loss Statement'!H3/'Balance Sheet'!H35</f>
        <v>7.410233393</v>
      </c>
      <c r="I39" s="94">
        <f>'Profit and Loss Statement'!I3/'Balance Sheet'!I35</f>
        <v>6.533615222</v>
      </c>
      <c r="J39" s="94">
        <f>'Profit and Loss Statement'!J3/'Balance Sheet'!J35</f>
        <v>9.794719226</v>
      </c>
      <c r="K39" s="94">
        <f>'Profit and Loss Statement'!K3/'Balance Sheet'!K35</f>
        <v>8.52167242</v>
      </c>
      <c r="L39" s="94">
        <f>'Profit and Loss Statement'!L3/'Balance Sheet'!L35</f>
        <v>12.09689526</v>
      </c>
      <c r="M39" s="94">
        <f>'Profit and Loss Statement'!M3/'Balance Sheet'!M35</f>
        <v>11.52782559</v>
      </c>
      <c r="N39" s="94">
        <f>'Profit and Loss Statement'!N3/'Balance Sheet'!N35</f>
        <v>14.44379845</v>
      </c>
      <c r="O39" s="64">
        <v>4.79</v>
      </c>
      <c r="P39" s="94" t="s">
        <v>243</v>
      </c>
      <c r="Q39" s="94">
        <f>AVERAGE(C39:N39)</f>
        <v>8.500726056</v>
      </c>
      <c r="R39" s="109" t="s">
        <v>244</v>
      </c>
    </row>
    <row r="40" ht="15.75" customHeight="1">
      <c r="B40" s="69"/>
      <c r="C40" s="106" t="s">
        <v>193</v>
      </c>
      <c r="D40" s="106" t="s">
        <v>193</v>
      </c>
      <c r="E40" s="112" t="s">
        <v>193</v>
      </c>
      <c r="F40" s="106" t="s">
        <v>193</v>
      </c>
      <c r="G40" s="112" t="s">
        <v>193</v>
      </c>
      <c r="H40" s="112" t="s">
        <v>193</v>
      </c>
      <c r="I40" s="106" t="s">
        <v>193</v>
      </c>
      <c r="J40" s="112" t="s">
        <v>194</v>
      </c>
      <c r="K40" s="112" t="s">
        <v>193</v>
      </c>
      <c r="L40" s="112" t="s">
        <v>194</v>
      </c>
      <c r="M40" s="112" t="s">
        <v>194</v>
      </c>
      <c r="N40" s="106" t="s">
        <v>194</v>
      </c>
      <c r="O40" s="104"/>
      <c r="P40" s="94"/>
      <c r="Q40" s="94"/>
      <c r="R40" s="111"/>
    </row>
    <row r="41" ht="15.75" customHeight="1">
      <c r="B41" s="114" t="s">
        <v>245</v>
      </c>
      <c r="C41" s="93">
        <f>'Profit and Loss Statement'!C3/'Balance Sheet'!C15</f>
        <v>1.00360507</v>
      </c>
      <c r="D41" s="93">
        <f>'Profit and Loss Statement'!D3/'Balance Sheet'!D15</f>
        <v>0.8549109468</v>
      </c>
      <c r="E41" s="93">
        <f>'Profit and Loss Statement'!E3/'Balance Sheet'!E15</f>
        <v>1.035629171</v>
      </c>
      <c r="F41" s="93">
        <f>'Profit and Loss Statement'!F3/'Balance Sheet'!F15</f>
        <v>0.8099192888</v>
      </c>
      <c r="G41" s="93">
        <f>'Profit and Loss Statement'!G3/'Balance Sheet'!G15</f>
        <v>0.9460273629</v>
      </c>
      <c r="H41" s="93">
        <f>'Profit and Loss Statement'!H3/'Balance Sheet'!H15</f>
        <v>1.081913499</v>
      </c>
      <c r="I41" s="93">
        <f>'Profit and Loss Statement'!I3/'Balance Sheet'!I15</f>
        <v>0.9614235938</v>
      </c>
      <c r="J41" s="93">
        <f>'Profit and Loss Statement'!J3/'Balance Sheet'!J15</f>
        <v>0.5376418715</v>
      </c>
      <c r="K41" s="93">
        <f>'Profit and Loss Statement'!K3/'Balance Sheet'!K15</f>
        <v>0.4677840478</v>
      </c>
      <c r="L41" s="93">
        <f>'Profit and Loss Statement'!L3/'Balance Sheet'!L15</f>
        <v>0.7473231599</v>
      </c>
      <c r="M41" s="93">
        <f>'Profit and Loss Statement'!M3/'Balance Sheet'!M15</f>
        <v>0.8534958797</v>
      </c>
      <c r="N41" s="93">
        <f>'Profit and Loss Statement'!N3/'Balance Sheet'!N15</f>
        <v>0.9570260669</v>
      </c>
      <c r="O41" s="64">
        <v>0.2461</v>
      </c>
      <c r="P41" s="94" t="s">
        <v>246</v>
      </c>
      <c r="Q41" s="94">
        <f>AVERAGE(C41:N41)</f>
        <v>0.8547249965</v>
      </c>
      <c r="R41" s="101" t="s">
        <v>247</v>
      </c>
    </row>
    <row r="42" ht="15.75" customHeight="1">
      <c r="B42" s="69"/>
      <c r="C42" s="112" t="s">
        <v>194</v>
      </c>
      <c r="D42" s="112" t="s">
        <v>193</v>
      </c>
      <c r="E42" s="112" t="s">
        <v>193</v>
      </c>
      <c r="F42" s="106" t="s">
        <v>193</v>
      </c>
      <c r="G42" s="112" t="s">
        <v>193</v>
      </c>
      <c r="H42" s="112" t="s">
        <v>193</v>
      </c>
      <c r="I42" s="106" t="s">
        <v>193</v>
      </c>
      <c r="J42" s="106" t="s">
        <v>193</v>
      </c>
      <c r="K42" s="106" t="s">
        <v>193</v>
      </c>
      <c r="L42" s="106" t="s">
        <v>193</v>
      </c>
      <c r="M42" s="106" t="s">
        <v>193</v>
      </c>
      <c r="N42" s="112" t="s">
        <v>193</v>
      </c>
      <c r="O42" s="104"/>
      <c r="P42" s="94"/>
      <c r="Q42" s="94"/>
      <c r="R42" s="111"/>
    </row>
    <row r="43" ht="15.75" customHeight="1">
      <c r="B43" s="114" t="s">
        <v>248</v>
      </c>
      <c r="C43" s="94">
        <f>'Profit and Loss Statement'!C3/'Balance Sheet'!C37</f>
        <v>0.2825894758</v>
      </c>
      <c r="D43" s="94">
        <f>'Profit and Loss Statement'!D3/'Balance Sheet'!D37</f>
        <v>0.256099844</v>
      </c>
      <c r="E43" s="94">
        <f>'Profit and Loss Statement'!E3/'Balance Sheet'!E37</f>
        <v>0.2549577564</v>
      </c>
      <c r="F43" s="94">
        <f>'Profit and Loss Statement'!F3/'Balance Sheet'!F37</f>
        <v>0.1835460654</v>
      </c>
      <c r="G43" s="94">
        <f>'Profit and Loss Statement'!G3/'Balance Sheet'!G37</f>
        <v>0.1949207334</v>
      </c>
      <c r="H43" s="94">
        <f>'Profit and Loss Statement'!H3/'Balance Sheet'!H37</f>
        <v>0.2212039605</v>
      </c>
      <c r="I43" s="94">
        <f>'Profit and Loss Statement'!I3/'Balance Sheet'!I37</f>
        <v>0.2039841058</v>
      </c>
      <c r="J43" s="94">
        <f>'Profit and Loss Statement'!J3/'Balance Sheet'!J37</f>
        <v>0.3209133444</v>
      </c>
      <c r="K43" s="94">
        <f>'Profit and Loss Statement'!K3/'Balance Sheet'!K37</f>
        <v>0.2425089238</v>
      </c>
      <c r="L43" s="94">
        <f>'Profit and Loss Statement'!L3/'Balance Sheet'!L37</f>
        <v>0.371944695</v>
      </c>
      <c r="M43" s="94">
        <f>'Profit and Loss Statement'!M3/'Balance Sheet'!M37</f>
        <v>0.4073098052</v>
      </c>
      <c r="N43" s="94">
        <f>'Profit and Loss Statement'!N3/'Balance Sheet'!N37</f>
        <v>0.4335912502</v>
      </c>
      <c r="O43" s="64">
        <v>0.17</v>
      </c>
      <c r="P43" s="94" t="s">
        <v>249</v>
      </c>
      <c r="Q43" s="94">
        <f>AVERAGE(C43:N43)</f>
        <v>0.28113083</v>
      </c>
      <c r="R43" s="101" t="s">
        <v>250</v>
      </c>
    </row>
    <row r="44" ht="15.75" customHeight="1">
      <c r="B44" s="69"/>
      <c r="C44" s="106" t="s">
        <v>193</v>
      </c>
      <c r="D44" s="112" t="s">
        <v>193</v>
      </c>
      <c r="E44" s="112" t="s">
        <v>193</v>
      </c>
      <c r="F44" s="112" t="s">
        <v>193</v>
      </c>
      <c r="G44" s="112" t="s">
        <v>193</v>
      </c>
      <c r="H44" s="112" t="s">
        <v>193</v>
      </c>
      <c r="I44" s="106" t="s">
        <v>193</v>
      </c>
      <c r="J44" s="106" t="s">
        <v>194</v>
      </c>
      <c r="K44" s="112" t="s">
        <v>193</v>
      </c>
      <c r="L44" s="112" t="s">
        <v>194</v>
      </c>
      <c r="M44" s="106" t="s">
        <v>194</v>
      </c>
      <c r="N44" s="106" t="s">
        <v>194</v>
      </c>
      <c r="O44" s="104"/>
      <c r="P44" s="94"/>
      <c r="Q44" s="94"/>
      <c r="R44" s="111"/>
    </row>
    <row r="45" ht="15.75" customHeight="1">
      <c r="O45" s="115"/>
    </row>
    <row r="46" ht="15.75" customHeight="1">
      <c r="O46" s="116"/>
      <c r="Q46" s="117"/>
      <c r="R46" s="117"/>
      <c r="S46" s="117"/>
      <c r="T46" s="117"/>
      <c r="U46" s="117"/>
      <c r="V46" s="117"/>
      <c r="W46" s="117"/>
      <c r="X46" s="117"/>
      <c r="Y46" s="117"/>
      <c r="Z46" s="117"/>
      <c r="AA46" s="117"/>
      <c r="AB46" s="117"/>
    </row>
    <row r="47" ht="15.75" customHeight="1">
      <c r="O47" s="116"/>
    </row>
    <row r="48" ht="15.75" customHeight="1">
      <c r="O48" s="116"/>
      <c r="Q48" s="117"/>
    </row>
    <row r="49" ht="15.75" customHeight="1">
      <c r="B49" s="118"/>
      <c r="C49" s="52"/>
      <c r="D49" s="52"/>
      <c r="E49" s="52"/>
      <c r="F49" s="52"/>
      <c r="G49" s="52"/>
      <c r="H49" s="52"/>
      <c r="O49" s="116"/>
      <c r="Q49" s="117"/>
    </row>
    <row r="50" ht="15.75" customHeight="1">
      <c r="O50" s="116"/>
      <c r="Q50" s="117"/>
    </row>
    <row r="51" ht="15.75" customHeight="1">
      <c r="O51" s="116"/>
      <c r="Q51" s="117"/>
    </row>
    <row r="52" ht="15.75" customHeight="1">
      <c r="O52" s="116"/>
      <c r="Q52" s="117"/>
    </row>
    <row r="53" ht="15.75" customHeight="1">
      <c r="O53" s="116"/>
      <c r="Q53" s="117"/>
    </row>
    <row r="54" ht="15.75" customHeight="1">
      <c r="O54" s="116"/>
      <c r="Q54" s="117"/>
    </row>
    <row r="55" ht="15.75" customHeight="1">
      <c r="O55" s="116"/>
      <c r="Q55" s="117"/>
    </row>
    <row r="56" ht="15.75" customHeight="1">
      <c r="O56" s="116"/>
      <c r="Q56" s="117"/>
    </row>
    <row r="57" ht="15.75" customHeight="1">
      <c r="O57" s="116"/>
      <c r="Q57" s="117"/>
    </row>
    <row r="58" ht="15.75" customHeight="1">
      <c r="O58" s="116"/>
      <c r="Q58" s="117"/>
    </row>
    <row r="59" ht="15.75" customHeight="1">
      <c r="O59" s="116"/>
      <c r="Q59" s="117"/>
    </row>
    <row r="60" ht="15.75" customHeight="1">
      <c r="O60" s="116"/>
    </row>
    <row r="61" ht="15.75" customHeight="1">
      <c r="O61" s="116"/>
    </row>
    <row r="62" ht="15.75" customHeight="1">
      <c r="O62" s="116"/>
    </row>
    <row r="63" ht="15.75" customHeight="1">
      <c r="O63" s="116"/>
    </row>
    <row r="64" ht="15.75" customHeight="1">
      <c r="O64" s="116"/>
    </row>
    <row r="65" ht="15.75" customHeight="1">
      <c r="O65" s="116"/>
    </row>
    <row r="66" ht="15.75" customHeight="1">
      <c r="O66" s="116"/>
    </row>
    <row r="67" ht="15.75" customHeight="1">
      <c r="O67" s="116"/>
    </row>
    <row r="68" ht="15.75" customHeight="1">
      <c r="O68" s="116"/>
    </row>
    <row r="69" ht="15.75" customHeight="1">
      <c r="O69" s="116"/>
    </row>
    <row r="70" ht="15.75" customHeight="1">
      <c r="O70" s="116"/>
    </row>
    <row r="71" ht="15.75" customHeight="1">
      <c r="O71" s="116"/>
    </row>
    <row r="72" ht="15.75" customHeight="1">
      <c r="O72" s="116"/>
    </row>
    <row r="73" ht="15.75" customHeight="1">
      <c r="O73" s="116"/>
    </row>
    <row r="74" ht="15.75" customHeight="1">
      <c r="O74" s="116"/>
    </row>
    <row r="75" ht="15.75" customHeight="1">
      <c r="O75" s="116"/>
    </row>
    <row r="76" ht="15.75" customHeight="1">
      <c r="O76" s="116"/>
    </row>
    <row r="77" ht="15.75" customHeight="1">
      <c r="O77" s="116"/>
    </row>
    <row r="78" ht="15.75" customHeight="1">
      <c r="O78" s="116"/>
    </row>
    <row r="79" ht="15.75" customHeight="1">
      <c r="O79" s="116"/>
    </row>
    <row r="80" ht="15.75" customHeight="1">
      <c r="O80" s="116"/>
    </row>
    <row r="81" ht="15.75" customHeight="1">
      <c r="O81" s="116"/>
    </row>
    <row r="82" ht="15.75" customHeight="1">
      <c r="O82" s="116"/>
    </row>
    <row r="83" ht="15.75" customHeight="1">
      <c r="O83" s="116"/>
    </row>
    <row r="84" ht="15.75" customHeight="1">
      <c r="O84" s="116"/>
    </row>
    <row r="85" ht="15.75" customHeight="1">
      <c r="O85" s="116"/>
    </row>
    <row r="86" ht="15.75" customHeight="1">
      <c r="O86" s="116"/>
    </row>
    <row r="87" ht="15.75" customHeight="1">
      <c r="O87" s="116"/>
    </row>
    <row r="88" ht="15.75" customHeight="1">
      <c r="O88" s="116"/>
    </row>
    <row r="89" ht="15.75" customHeight="1">
      <c r="O89" s="116"/>
    </row>
    <row r="90" ht="15.75" customHeight="1">
      <c r="O90" s="116"/>
    </row>
    <row r="91" ht="15.75" customHeight="1">
      <c r="O91" s="116"/>
    </row>
    <row r="92" ht="15.75" customHeight="1">
      <c r="O92" s="116"/>
    </row>
    <row r="93" ht="15.75" customHeight="1">
      <c r="O93" s="116"/>
    </row>
    <row r="94" ht="15.75" customHeight="1">
      <c r="O94" s="116"/>
    </row>
    <row r="95" ht="15.75" customHeight="1">
      <c r="O95" s="116"/>
    </row>
    <row r="96" ht="15.75" customHeight="1">
      <c r="O96" s="116"/>
    </row>
    <row r="97" ht="15.75" customHeight="1">
      <c r="O97" s="116"/>
    </row>
    <row r="98" ht="15.75" customHeight="1">
      <c r="O98" s="116"/>
    </row>
    <row r="99" ht="15.75" customHeight="1">
      <c r="O99" s="116"/>
    </row>
    <row r="100" ht="15.75" customHeight="1">
      <c r="O100" s="116"/>
    </row>
    <row r="101" ht="15.75" customHeight="1">
      <c r="O101" s="116"/>
    </row>
    <row r="102" ht="15.75" customHeight="1">
      <c r="O102" s="116"/>
    </row>
    <row r="103" ht="15.75" customHeight="1">
      <c r="O103" s="116"/>
    </row>
    <row r="104" ht="15.75" customHeight="1">
      <c r="O104" s="116"/>
    </row>
    <row r="105" ht="15.75" customHeight="1">
      <c r="O105" s="116"/>
    </row>
    <row r="106" ht="15.75" customHeight="1">
      <c r="O106" s="116"/>
    </row>
    <row r="107" ht="15.75" customHeight="1">
      <c r="O107" s="116"/>
    </row>
    <row r="108" ht="15.75" customHeight="1">
      <c r="O108" s="116"/>
    </row>
    <row r="109" ht="15.75" customHeight="1">
      <c r="O109" s="116"/>
    </row>
    <row r="110" ht="15.75" customHeight="1">
      <c r="O110" s="116"/>
    </row>
    <row r="111" ht="15.75" customHeight="1">
      <c r="O111" s="116"/>
    </row>
    <row r="112" ht="15.75" customHeight="1">
      <c r="O112" s="116"/>
    </row>
    <row r="113" ht="15.75" customHeight="1">
      <c r="O113" s="116"/>
    </row>
    <row r="114" ht="15.75" customHeight="1">
      <c r="O114" s="116"/>
    </row>
    <row r="115" ht="15.75" customHeight="1">
      <c r="O115" s="116"/>
    </row>
    <row r="116" ht="15.75" customHeight="1">
      <c r="O116" s="116"/>
    </row>
    <row r="117" ht="15.75" customHeight="1">
      <c r="O117" s="116"/>
    </row>
    <row r="118" ht="15.75" customHeight="1">
      <c r="O118" s="116"/>
    </row>
    <row r="119" ht="15.75" customHeight="1">
      <c r="O119" s="116"/>
    </row>
    <row r="120" ht="15.75" customHeight="1">
      <c r="O120" s="116"/>
    </row>
    <row r="121" ht="15.75" customHeight="1">
      <c r="O121" s="116"/>
    </row>
    <row r="122" ht="15.75" customHeight="1">
      <c r="O122" s="116"/>
    </row>
    <row r="123" ht="15.75" customHeight="1">
      <c r="O123" s="116"/>
    </row>
    <row r="124" ht="15.75" customHeight="1">
      <c r="O124" s="116"/>
    </row>
    <row r="125" ht="15.75" customHeight="1">
      <c r="O125" s="116"/>
    </row>
    <row r="126" ht="15.75" customHeight="1">
      <c r="O126" s="116"/>
    </row>
    <row r="127" ht="15.75" customHeight="1">
      <c r="O127" s="116"/>
    </row>
    <row r="128" ht="15.75" customHeight="1">
      <c r="O128" s="116"/>
    </row>
    <row r="129" ht="15.75" customHeight="1">
      <c r="O129" s="116"/>
    </row>
    <row r="130" ht="15.75" customHeight="1">
      <c r="O130" s="116"/>
    </row>
    <row r="131" ht="15.75" customHeight="1">
      <c r="O131" s="116"/>
    </row>
    <row r="132" ht="15.75" customHeight="1">
      <c r="O132" s="116"/>
    </row>
    <row r="133" ht="15.75" customHeight="1">
      <c r="O133" s="116"/>
    </row>
    <row r="134" ht="15.75" customHeight="1">
      <c r="O134" s="116"/>
    </row>
    <row r="135" ht="15.75" customHeight="1">
      <c r="O135" s="116"/>
    </row>
    <row r="136" ht="15.75" customHeight="1">
      <c r="O136" s="116"/>
    </row>
    <row r="137" ht="15.75" customHeight="1">
      <c r="O137" s="116"/>
    </row>
    <row r="138" ht="15.75" customHeight="1">
      <c r="O138" s="116"/>
    </row>
    <row r="139" ht="15.75" customHeight="1">
      <c r="O139" s="116"/>
    </row>
    <row r="140" ht="15.75" customHeight="1">
      <c r="O140" s="116"/>
    </row>
    <row r="141" ht="15.75" customHeight="1">
      <c r="O141" s="116"/>
    </row>
    <row r="142" ht="15.75" customHeight="1">
      <c r="O142" s="116"/>
    </row>
    <row r="143" ht="15.75" customHeight="1">
      <c r="O143" s="116"/>
    </row>
    <row r="144" ht="15.75" customHeight="1">
      <c r="O144" s="116"/>
    </row>
    <row r="145" ht="15.75" customHeight="1">
      <c r="O145" s="116"/>
    </row>
    <row r="146" ht="15.75" customHeight="1">
      <c r="O146" s="116"/>
    </row>
    <row r="147" ht="15.75" customHeight="1">
      <c r="O147" s="116"/>
    </row>
    <row r="148" ht="15.75" customHeight="1">
      <c r="O148" s="116"/>
    </row>
    <row r="149" ht="15.75" customHeight="1">
      <c r="O149" s="116"/>
    </row>
    <row r="150" ht="15.75" customHeight="1">
      <c r="O150" s="116"/>
    </row>
    <row r="151" ht="15.75" customHeight="1">
      <c r="O151" s="116"/>
    </row>
    <row r="152" ht="15.75" customHeight="1">
      <c r="O152" s="116"/>
    </row>
    <row r="153" ht="15.75" customHeight="1">
      <c r="O153" s="116"/>
    </row>
    <row r="154" ht="15.75" customHeight="1">
      <c r="O154" s="116"/>
    </row>
    <row r="155" ht="15.75" customHeight="1">
      <c r="O155" s="116"/>
    </row>
    <row r="156" ht="15.75" customHeight="1">
      <c r="O156" s="116"/>
    </row>
    <row r="157" ht="15.75" customHeight="1">
      <c r="O157" s="116"/>
    </row>
    <row r="158" ht="15.75" customHeight="1">
      <c r="O158" s="116"/>
    </row>
    <row r="159" ht="15.75" customHeight="1">
      <c r="O159" s="116"/>
    </row>
    <row r="160" ht="15.75" customHeight="1">
      <c r="O160" s="116"/>
    </row>
    <row r="161" ht="15.75" customHeight="1">
      <c r="O161" s="116"/>
    </row>
    <row r="162" ht="15.75" customHeight="1">
      <c r="O162" s="116"/>
    </row>
    <row r="163" ht="15.75" customHeight="1">
      <c r="O163" s="116"/>
    </row>
    <row r="164" ht="15.75" customHeight="1">
      <c r="O164" s="116"/>
    </row>
    <row r="165" ht="15.75" customHeight="1">
      <c r="O165" s="116"/>
    </row>
    <row r="166" ht="15.75" customHeight="1">
      <c r="O166" s="116"/>
    </row>
    <row r="167" ht="15.75" customHeight="1">
      <c r="O167" s="116"/>
    </row>
    <row r="168" ht="15.75" customHeight="1">
      <c r="O168" s="116"/>
    </row>
    <row r="169" ht="15.75" customHeight="1">
      <c r="O169" s="116"/>
    </row>
    <row r="170" ht="15.75" customHeight="1">
      <c r="O170" s="116"/>
    </row>
    <row r="171" ht="15.75" customHeight="1">
      <c r="O171" s="116"/>
    </row>
    <row r="172" ht="15.75" customHeight="1">
      <c r="O172" s="116"/>
    </row>
    <row r="173" ht="15.75" customHeight="1">
      <c r="O173" s="116"/>
    </row>
    <row r="174" ht="15.75" customHeight="1">
      <c r="O174" s="116"/>
    </row>
    <row r="175" ht="15.75" customHeight="1">
      <c r="O175" s="116"/>
    </row>
    <row r="176" ht="15.75" customHeight="1">
      <c r="O176" s="116"/>
    </row>
    <row r="177" ht="15.75" customHeight="1">
      <c r="O177" s="116"/>
    </row>
    <row r="178" ht="15.75" customHeight="1">
      <c r="O178" s="116"/>
    </row>
    <row r="179" ht="15.75" customHeight="1">
      <c r="O179" s="116"/>
    </row>
    <row r="180" ht="15.75" customHeight="1">
      <c r="O180" s="116"/>
    </row>
    <row r="181" ht="15.75" customHeight="1">
      <c r="O181" s="116"/>
    </row>
    <row r="182" ht="15.75" customHeight="1">
      <c r="O182" s="116"/>
    </row>
    <row r="183" ht="15.75" customHeight="1">
      <c r="O183" s="116"/>
    </row>
    <row r="184" ht="15.75" customHeight="1">
      <c r="O184" s="116"/>
    </row>
    <row r="185" ht="15.75" customHeight="1">
      <c r="O185" s="116"/>
    </row>
    <row r="186" ht="15.75" customHeight="1">
      <c r="O186" s="116"/>
    </row>
    <row r="187" ht="15.75" customHeight="1">
      <c r="O187" s="116"/>
    </row>
    <row r="188" ht="15.75" customHeight="1">
      <c r="O188" s="116"/>
    </row>
    <row r="189" ht="15.75" customHeight="1">
      <c r="O189" s="116"/>
    </row>
    <row r="190" ht="15.75" customHeight="1">
      <c r="O190" s="116"/>
    </row>
    <row r="191" ht="15.75" customHeight="1">
      <c r="O191" s="116"/>
    </row>
    <row r="192" ht="15.75" customHeight="1">
      <c r="O192" s="116"/>
    </row>
    <row r="193" ht="15.75" customHeight="1">
      <c r="O193" s="116"/>
    </row>
    <row r="194" ht="15.75" customHeight="1">
      <c r="O194" s="116"/>
    </row>
    <row r="195" ht="15.75" customHeight="1">
      <c r="O195" s="116"/>
    </row>
    <row r="196" ht="15.75" customHeight="1">
      <c r="O196" s="116"/>
    </row>
    <row r="197" ht="15.75" customHeight="1">
      <c r="O197" s="116"/>
    </row>
    <row r="198" ht="15.75" customHeight="1">
      <c r="O198" s="116"/>
    </row>
    <row r="199" ht="15.75" customHeight="1">
      <c r="O199" s="116"/>
    </row>
    <row r="200" ht="15.75" customHeight="1">
      <c r="O200" s="116"/>
    </row>
    <row r="201" ht="15.75" customHeight="1">
      <c r="O201" s="116"/>
    </row>
    <row r="202" ht="15.75" customHeight="1">
      <c r="O202" s="116"/>
    </row>
    <row r="203" ht="15.75" customHeight="1">
      <c r="O203" s="116"/>
    </row>
    <row r="204" ht="15.75" customHeight="1">
      <c r="O204" s="116"/>
    </row>
    <row r="205" ht="15.75" customHeight="1">
      <c r="O205" s="116"/>
    </row>
    <row r="206" ht="15.75" customHeight="1">
      <c r="O206" s="116"/>
    </row>
    <row r="207" ht="15.75" customHeight="1">
      <c r="O207" s="116"/>
    </row>
    <row r="208" ht="15.75" customHeight="1">
      <c r="O208" s="116"/>
    </row>
    <row r="209" ht="15.75" customHeight="1">
      <c r="O209" s="116"/>
    </row>
    <row r="210" ht="15.75" customHeight="1">
      <c r="O210" s="116"/>
    </row>
    <row r="211" ht="15.75" customHeight="1">
      <c r="O211" s="116"/>
    </row>
    <row r="212" ht="15.75" customHeight="1">
      <c r="O212" s="116"/>
    </row>
    <row r="213" ht="15.75" customHeight="1">
      <c r="O213" s="116"/>
    </row>
    <row r="214" ht="15.75" customHeight="1">
      <c r="O214" s="116"/>
    </row>
    <row r="215" ht="15.75" customHeight="1">
      <c r="O215" s="116"/>
    </row>
    <row r="216" ht="15.75" customHeight="1">
      <c r="O216" s="116"/>
    </row>
    <row r="217" ht="15.75" customHeight="1">
      <c r="O217" s="116"/>
    </row>
    <row r="218" ht="15.75" customHeight="1">
      <c r="O218" s="116"/>
    </row>
    <row r="219" ht="15.75" customHeight="1">
      <c r="O219" s="116"/>
    </row>
    <row r="220" ht="15.75" customHeight="1">
      <c r="O220" s="116"/>
    </row>
    <row r="221" ht="15.75" customHeight="1">
      <c r="O221" s="116"/>
    </row>
    <row r="222" ht="15.75" customHeight="1">
      <c r="O222" s="116"/>
    </row>
    <row r="223" ht="15.75" customHeight="1">
      <c r="O223" s="116"/>
    </row>
    <row r="224" ht="15.75" customHeight="1">
      <c r="O224" s="116"/>
    </row>
    <row r="225" ht="15.75" customHeight="1">
      <c r="O225" s="116"/>
    </row>
    <row r="226" ht="15.75" customHeight="1">
      <c r="O226" s="116"/>
    </row>
    <row r="227" ht="15.75" customHeight="1">
      <c r="O227" s="116"/>
    </row>
    <row r="228" ht="15.75" customHeight="1">
      <c r="O228" s="116"/>
    </row>
    <row r="229" ht="15.75" customHeight="1">
      <c r="O229" s="116"/>
    </row>
    <row r="230" ht="15.75" customHeight="1">
      <c r="O230" s="116"/>
    </row>
    <row r="231" ht="15.75" customHeight="1">
      <c r="O231" s="116"/>
    </row>
    <row r="232" ht="15.75" customHeight="1">
      <c r="O232" s="116"/>
    </row>
    <row r="233" ht="15.75" customHeight="1">
      <c r="O233" s="116"/>
    </row>
    <row r="234" ht="15.75" customHeight="1">
      <c r="O234" s="116"/>
    </row>
    <row r="235" ht="15.75" customHeight="1">
      <c r="O235" s="116"/>
    </row>
    <row r="236" ht="15.75" customHeight="1">
      <c r="O236" s="116"/>
    </row>
    <row r="237" ht="15.75" customHeight="1">
      <c r="O237" s="116"/>
    </row>
    <row r="238" ht="15.75" customHeight="1">
      <c r="O238" s="116"/>
    </row>
    <row r="239" ht="15.75" customHeight="1">
      <c r="O239" s="116"/>
    </row>
    <row r="240" ht="15.75" customHeight="1">
      <c r="O240" s="116"/>
    </row>
    <row r="241" ht="15.75" customHeight="1">
      <c r="O241" s="116"/>
    </row>
    <row r="242" ht="15.75" customHeight="1">
      <c r="O242" s="116"/>
    </row>
    <row r="243" ht="15.75" customHeight="1">
      <c r="O243" s="116"/>
    </row>
    <row r="244" ht="15.75" customHeight="1">
      <c r="O244" s="116"/>
    </row>
    <row r="245" ht="15.75" customHeight="1">
      <c r="O245" s="116"/>
    </row>
    <row r="246" ht="15.75" customHeight="1">
      <c r="O246" s="116"/>
    </row>
    <row r="247" ht="15.75" customHeight="1">
      <c r="O247" s="116"/>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8">
    <mergeCell ref="T1:W1"/>
    <mergeCell ref="B2:R2"/>
    <mergeCell ref="B19:R19"/>
    <mergeCell ref="B20:R20"/>
    <mergeCell ref="B25:R25"/>
    <mergeCell ref="B26:R26"/>
    <mergeCell ref="B35:R35"/>
    <mergeCell ref="B36:R3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
    <col customWidth="1" min="2" max="2" width="19.78"/>
    <col customWidth="1" min="3" max="7" width="10.33"/>
    <col customWidth="1" min="8" max="8" width="9.56"/>
    <col customWidth="1" min="9" max="10" width="10.33"/>
    <col customWidth="1" min="11" max="17" width="10.44"/>
    <col customWidth="1" min="18" max="26" width="11.11"/>
  </cols>
  <sheetData>
    <row r="1" ht="39.75" customHeight="1">
      <c r="B1" s="119" t="s">
        <v>251</v>
      </c>
      <c r="C1" s="120"/>
      <c r="D1" s="120"/>
      <c r="E1" s="120"/>
      <c r="F1" s="120"/>
      <c r="G1" s="120"/>
      <c r="H1" s="120"/>
      <c r="I1" s="120"/>
      <c r="J1" s="121"/>
    </row>
    <row r="2" ht="15.75" customHeight="1"/>
    <row r="3" ht="15.75" customHeight="1">
      <c r="B3" s="122" t="s">
        <v>252</v>
      </c>
      <c r="C3" s="123"/>
      <c r="D3" s="123"/>
      <c r="E3" s="123"/>
      <c r="F3" s="123"/>
      <c r="G3" s="123"/>
      <c r="H3" s="123"/>
      <c r="I3" s="123"/>
      <c r="J3" s="124"/>
    </row>
    <row r="4" ht="15.75" customHeight="1">
      <c r="B4" s="125"/>
      <c r="C4" s="126">
        <v>45369.0</v>
      </c>
      <c r="D4" s="126">
        <v>45370.0</v>
      </c>
      <c r="E4" s="126">
        <v>45371.0</v>
      </c>
      <c r="F4" s="126">
        <v>45372.0</v>
      </c>
      <c r="G4" s="126">
        <v>45373.0</v>
      </c>
      <c r="H4" s="126">
        <v>45374.0</v>
      </c>
      <c r="I4" s="126">
        <v>45375.0</v>
      </c>
      <c r="J4" s="127">
        <v>45376.0</v>
      </c>
    </row>
    <row r="5" ht="15.75" customHeight="1">
      <c r="B5" s="128" t="s">
        <v>253</v>
      </c>
      <c r="C5" s="30">
        <f>'Profit and Loss Statement'!G18</f>
        <v>-3151</v>
      </c>
      <c r="D5" s="30">
        <f>'Profit and Loss Statement'!H18</f>
        <v>1769</v>
      </c>
      <c r="E5" s="30">
        <f>'Profit and Loss Statement'!I18</f>
        <v>148</v>
      </c>
      <c r="F5" s="30">
        <f>'Profit and Loss Statement'!J18</f>
        <v>294</v>
      </c>
      <c r="G5" s="30">
        <f>'Profit and Loss Statement'!K18</f>
        <v>2783</v>
      </c>
      <c r="H5" s="30">
        <f>'Profit and Loss Statement'!L18</f>
        <v>3268</v>
      </c>
      <c r="I5" s="30">
        <f>'Profit and Loss Statement'!M18</f>
        <v>2230</v>
      </c>
      <c r="J5" s="129">
        <f>'Profit and Loss Statement'!N18</f>
        <v>3133</v>
      </c>
    </row>
    <row r="6" ht="15.75" customHeight="1">
      <c r="B6" s="128" t="s">
        <v>254</v>
      </c>
      <c r="C6" s="30">
        <f>'Profit and Loss Statement'!G3</f>
        <v>7537</v>
      </c>
      <c r="D6" s="30">
        <f>'Profit and Loss Statement'!H3</f>
        <v>8255</v>
      </c>
      <c r="E6" s="30">
        <f>'Profit and Loss Statement'!I3</f>
        <v>7726</v>
      </c>
      <c r="F6" s="30">
        <f>'Profit and Loss Statement'!J3</f>
        <v>13169</v>
      </c>
      <c r="G6" s="30">
        <f>'Profit and Loss Statement'!K3</f>
        <v>11108</v>
      </c>
      <c r="H6" s="30">
        <f>'Profit and Loss Statement'!L3</f>
        <v>17728</v>
      </c>
      <c r="I6" s="30">
        <f>'Profit and Loss Statement'!M3</f>
        <v>20093</v>
      </c>
      <c r="J6" s="129">
        <f>'Profit and Loss Statement'!N3</f>
        <v>22359</v>
      </c>
    </row>
    <row r="7" ht="15.75" customHeight="1">
      <c r="B7" s="130" t="s">
        <v>255</v>
      </c>
      <c r="C7" s="131">
        <f t="shared" ref="C7:J7" si="1">C5/C6</f>
        <v>-0.4180708505</v>
      </c>
      <c r="D7" s="131">
        <f t="shared" si="1"/>
        <v>0.2142943671</v>
      </c>
      <c r="E7" s="131">
        <f t="shared" si="1"/>
        <v>0.0191560963</v>
      </c>
      <c r="F7" s="131">
        <f t="shared" si="1"/>
        <v>0.02232515757</v>
      </c>
      <c r="G7" s="131">
        <f t="shared" si="1"/>
        <v>0.2505401512</v>
      </c>
      <c r="H7" s="131">
        <f t="shared" si="1"/>
        <v>0.1843411552</v>
      </c>
      <c r="I7" s="131">
        <f t="shared" si="1"/>
        <v>0.1109839247</v>
      </c>
      <c r="J7" s="132">
        <f t="shared" si="1"/>
        <v>0.1401225457</v>
      </c>
    </row>
    <row r="8" ht="15.75" customHeight="1">
      <c r="B8" s="133"/>
      <c r="C8" s="134"/>
      <c r="D8" s="134"/>
      <c r="E8" s="134"/>
      <c r="F8" s="134"/>
      <c r="G8" s="134"/>
      <c r="H8" s="135"/>
      <c r="I8" s="135"/>
      <c r="J8" s="136"/>
    </row>
    <row r="9" ht="15.75" customHeight="1">
      <c r="B9" s="128" t="s">
        <v>254</v>
      </c>
      <c r="C9" s="137">
        <f t="shared" ref="C9:J9" si="2">C6</f>
        <v>7537</v>
      </c>
      <c r="D9" s="137">
        <f t="shared" si="2"/>
        <v>8255</v>
      </c>
      <c r="E9" s="137">
        <f t="shared" si="2"/>
        <v>7726</v>
      </c>
      <c r="F9" s="137">
        <f t="shared" si="2"/>
        <v>13169</v>
      </c>
      <c r="G9" s="137">
        <f t="shared" si="2"/>
        <v>11108</v>
      </c>
      <c r="H9" s="137">
        <f t="shared" si="2"/>
        <v>17728</v>
      </c>
      <c r="I9" s="137">
        <f t="shared" si="2"/>
        <v>20093</v>
      </c>
      <c r="J9" s="138">
        <f t="shared" si="2"/>
        <v>22359</v>
      </c>
    </row>
    <row r="10" ht="15.75" customHeight="1">
      <c r="B10" s="128" t="s">
        <v>67</v>
      </c>
      <c r="C10" s="137">
        <f>'Balance Sheet'!G37</f>
        <v>38667</v>
      </c>
      <c r="D10" s="137">
        <f>'Balance Sheet'!H37</f>
        <v>37318.5</v>
      </c>
      <c r="E10" s="137">
        <f>'Balance Sheet'!I37</f>
        <v>37875.5</v>
      </c>
      <c r="F10" s="137">
        <f>'Balance Sheet'!J37</f>
        <v>41036</v>
      </c>
      <c r="G10" s="137">
        <f>'Balance Sheet'!K37</f>
        <v>45804.5</v>
      </c>
      <c r="H10" s="137">
        <f>'Balance Sheet'!L37</f>
        <v>47663</v>
      </c>
      <c r="I10" s="137">
        <f>'Balance Sheet'!M37</f>
        <v>49331</v>
      </c>
      <c r="J10" s="138">
        <f>'Balance Sheet'!N37</f>
        <v>51567</v>
      </c>
      <c r="K10" s="137"/>
    </row>
    <row r="11" ht="15.75" customHeight="1">
      <c r="B11" s="130" t="s">
        <v>256</v>
      </c>
      <c r="C11" s="139">
        <f t="shared" ref="C11:J11" si="3">C9/C10</f>
        <v>0.1949207334</v>
      </c>
      <c r="D11" s="139">
        <f t="shared" si="3"/>
        <v>0.2212039605</v>
      </c>
      <c r="E11" s="139">
        <f t="shared" si="3"/>
        <v>0.2039841058</v>
      </c>
      <c r="F11" s="139">
        <f t="shared" si="3"/>
        <v>0.3209133444</v>
      </c>
      <c r="G11" s="139">
        <f t="shared" si="3"/>
        <v>0.2425089238</v>
      </c>
      <c r="H11" s="139">
        <f t="shared" si="3"/>
        <v>0.371944695</v>
      </c>
      <c r="I11" s="139">
        <f t="shared" si="3"/>
        <v>0.4073098052</v>
      </c>
      <c r="J11" s="140">
        <f t="shared" si="3"/>
        <v>0.4335912502</v>
      </c>
    </row>
    <row r="12" ht="15.75" customHeight="1">
      <c r="B12" s="133"/>
      <c r="C12" s="134"/>
      <c r="D12" s="134"/>
      <c r="E12" s="134"/>
      <c r="F12" s="134"/>
      <c r="G12" s="134"/>
      <c r="H12" s="135"/>
      <c r="I12" s="135"/>
      <c r="J12" s="136"/>
    </row>
    <row r="13" ht="15.75" customHeight="1">
      <c r="B13" s="128" t="s">
        <v>67</v>
      </c>
      <c r="C13" s="137">
        <f t="shared" ref="C13:J13" si="4">C10</f>
        <v>38667</v>
      </c>
      <c r="D13" s="137">
        <f t="shared" si="4"/>
        <v>37318.5</v>
      </c>
      <c r="E13" s="137">
        <f t="shared" si="4"/>
        <v>37875.5</v>
      </c>
      <c r="F13" s="137">
        <f t="shared" si="4"/>
        <v>41036</v>
      </c>
      <c r="G13" s="137">
        <f t="shared" si="4"/>
        <v>45804.5</v>
      </c>
      <c r="H13" s="137">
        <f t="shared" si="4"/>
        <v>47663</v>
      </c>
      <c r="I13" s="137">
        <f t="shared" si="4"/>
        <v>49331</v>
      </c>
      <c r="J13" s="138">
        <f t="shared" si="4"/>
        <v>51567</v>
      </c>
    </row>
    <row r="14" ht="15.75" customHeight="1">
      <c r="B14" s="128" t="s">
        <v>257</v>
      </c>
      <c r="C14" s="137">
        <f>'Balance Sheet'!G3+'Balance Sheet'!G4</f>
        <v>12988</v>
      </c>
      <c r="D14" s="137">
        <f>'Balance Sheet'!H3+'Balance Sheet'!H4</f>
        <v>15689</v>
      </c>
      <c r="E14" s="137">
        <f>'Balance Sheet'!I3+'Balance Sheet'!I4</f>
        <v>15261</v>
      </c>
      <c r="F14" s="137">
        <f>'Balance Sheet'!J3+'Balance Sheet'!J4</f>
        <v>9879</v>
      </c>
      <c r="G14" s="137">
        <f>'Balance Sheet'!K3+'Balance Sheet'!K4</f>
        <v>10880</v>
      </c>
      <c r="H14" s="137">
        <f>'Balance Sheet'!L3+'Balance Sheet'!L4</f>
        <v>13700</v>
      </c>
      <c r="I14" s="137">
        <f>'Balance Sheet'!M3+'Balance Sheet'!M4</f>
        <v>15788</v>
      </c>
      <c r="J14" s="138">
        <f>'Balance Sheet'!N3+'Balance Sheet'!N4</f>
        <v>18366</v>
      </c>
    </row>
    <row r="15" ht="15.75" customHeight="1">
      <c r="B15" s="130" t="s">
        <v>258</v>
      </c>
      <c r="C15" s="139">
        <f t="shared" ref="C15:J15" si="5">C13/C14</f>
        <v>2.977132738</v>
      </c>
      <c r="D15" s="139">
        <f t="shared" si="5"/>
        <v>2.378641086</v>
      </c>
      <c r="E15" s="139">
        <f t="shared" si="5"/>
        <v>2.481849158</v>
      </c>
      <c r="F15" s="139">
        <f t="shared" si="5"/>
        <v>4.153861727</v>
      </c>
      <c r="G15" s="139">
        <f t="shared" si="5"/>
        <v>4.209972426</v>
      </c>
      <c r="H15" s="139">
        <f t="shared" si="5"/>
        <v>3.479051095</v>
      </c>
      <c r="I15" s="139">
        <f t="shared" si="5"/>
        <v>3.124588295</v>
      </c>
      <c r="J15" s="140">
        <f t="shared" si="5"/>
        <v>2.807742568</v>
      </c>
    </row>
    <row r="16" ht="15.75" customHeight="1">
      <c r="B16" s="133"/>
      <c r="C16" s="135"/>
      <c r="D16" s="135"/>
      <c r="E16" s="135"/>
      <c r="F16" s="135"/>
      <c r="G16" s="135"/>
      <c r="H16" s="135"/>
      <c r="I16" s="135"/>
      <c r="J16" s="136"/>
    </row>
    <row r="17" ht="15.75" customHeight="1">
      <c r="B17" s="141" t="s">
        <v>259</v>
      </c>
      <c r="C17" s="142">
        <f t="shared" ref="C17:J17" si="6">C7*C11*C15</f>
        <v>-0.2426085617</v>
      </c>
      <c r="D17" s="143">
        <f t="shared" si="6"/>
        <v>0.112754159</v>
      </c>
      <c r="E17" s="142">
        <f t="shared" si="6"/>
        <v>0.00969792281</v>
      </c>
      <c r="F17" s="143">
        <f t="shared" si="6"/>
        <v>0.02976009718</v>
      </c>
      <c r="G17" s="142">
        <f t="shared" si="6"/>
        <v>0.2557904412</v>
      </c>
      <c r="H17" s="142">
        <f t="shared" si="6"/>
        <v>0.238540146</v>
      </c>
      <c r="I17" s="142">
        <f t="shared" si="6"/>
        <v>0.1412465163</v>
      </c>
      <c r="J17" s="142">
        <f t="shared" si="6"/>
        <v>0.1705869542</v>
      </c>
      <c r="K17" s="144" t="s">
        <v>260</v>
      </c>
      <c r="L17" s="7"/>
      <c r="M17" s="7"/>
      <c r="N17" s="8"/>
      <c r="O17" s="145"/>
    </row>
    <row r="18" ht="15.75" customHeight="1">
      <c r="B18" s="146"/>
      <c r="C18" s="147">
        <v>-0.2425</v>
      </c>
      <c r="D18" s="147">
        <v>0.1246</v>
      </c>
      <c r="E18" s="147">
        <v>0.0107</v>
      </c>
      <c r="F18" s="147">
        <v>0.0545</v>
      </c>
      <c r="G18" s="147">
        <v>0.2557</v>
      </c>
      <c r="H18" s="147">
        <v>0.2385</v>
      </c>
      <c r="I18" s="147">
        <v>0.1412</v>
      </c>
      <c r="J18" s="147">
        <v>0.1705</v>
      </c>
      <c r="K18" s="14"/>
      <c r="L18" s="15"/>
      <c r="M18" s="15"/>
      <c r="N18" s="16"/>
    </row>
    <row r="19" ht="16.5" customHeight="1">
      <c r="B19" s="148" t="s">
        <v>261</v>
      </c>
      <c r="C19" s="123"/>
      <c r="D19" s="123"/>
      <c r="E19" s="123"/>
      <c r="F19" s="123"/>
      <c r="G19" s="123"/>
      <c r="H19" s="123"/>
      <c r="I19" s="123"/>
      <c r="J19" s="124"/>
      <c r="O19" s="19"/>
      <c r="P19" s="19"/>
    </row>
    <row r="20" ht="15.75" customHeight="1">
      <c r="B20" s="125"/>
      <c r="C20" s="126">
        <v>45369.0</v>
      </c>
      <c r="D20" s="126">
        <v>45370.0</v>
      </c>
      <c r="E20" s="126">
        <v>45371.0</v>
      </c>
      <c r="F20" s="126">
        <v>45372.0</v>
      </c>
      <c r="G20" s="126">
        <v>45373.0</v>
      </c>
      <c r="H20" s="126">
        <v>45374.0</v>
      </c>
      <c r="I20" s="126">
        <v>45375.0</v>
      </c>
      <c r="J20" s="127">
        <v>45376.0</v>
      </c>
      <c r="O20" s="19"/>
      <c r="P20" s="19"/>
    </row>
    <row r="21" ht="15.75" customHeight="1">
      <c r="B21" s="128" t="s">
        <v>253</v>
      </c>
      <c r="C21" s="149">
        <f t="shared" ref="C21:J21" si="7">C5</f>
        <v>-3151</v>
      </c>
      <c r="D21" s="149">
        <f t="shared" si="7"/>
        <v>1769</v>
      </c>
      <c r="E21" s="149">
        <f t="shared" si="7"/>
        <v>148</v>
      </c>
      <c r="F21" s="149">
        <f t="shared" si="7"/>
        <v>294</v>
      </c>
      <c r="G21" s="149">
        <f t="shared" si="7"/>
        <v>2783</v>
      </c>
      <c r="H21" s="149">
        <f t="shared" si="7"/>
        <v>3268</v>
      </c>
      <c r="I21" s="149">
        <f t="shared" si="7"/>
        <v>2230</v>
      </c>
      <c r="J21" s="150">
        <f t="shared" si="7"/>
        <v>3133</v>
      </c>
      <c r="O21" s="19"/>
      <c r="P21" s="19"/>
    </row>
    <row r="22" ht="15.75" customHeight="1">
      <c r="B22" s="128" t="s">
        <v>254</v>
      </c>
      <c r="C22" s="137">
        <f t="shared" ref="C22:J22" si="8">C6</f>
        <v>7537</v>
      </c>
      <c r="D22" s="137">
        <f t="shared" si="8"/>
        <v>8255</v>
      </c>
      <c r="E22" s="137">
        <f t="shared" si="8"/>
        <v>7726</v>
      </c>
      <c r="F22" s="137">
        <f t="shared" si="8"/>
        <v>13169</v>
      </c>
      <c r="G22" s="137">
        <f t="shared" si="8"/>
        <v>11108</v>
      </c>
      <c r="H22" s="137">
        <f t="shared" si="8"/>
        <v>17728</v>
      </c>
      <c r="I22" s="137">
        <f t="shared" si="8"/>
        <v>20093</v>
      </c>
      <c r="J22" s="138">
        <f t="shared" si="8"/>
        <v>22359</v>
      </c>
      <c r="O22" s="19"/>
      <c r="P22" s="19"/>
    </row>
    <row r="23" ht="15.75" customHeight="1">
      <c r="B23" s="130" t="s">
        <v>255</v>
      </c>
      <c r="C23" s="131">
        <f t="shared" ref="C23:J23" si="9">C7</f>
        <v>-0.4180708505</v>
      </c>
      <c r="D23" s="131">
        <f t="shared" si="9"/>
        <v>0.2142943671</v>
      </c>
      <c r="E23" s="131">
        <f t="shared" si="9"/>
        <v>0.0191560963</v>
      </c>
      <c r="F23" s="131">
        <f t="shared" si="9"/>
        <v>0.02232515757</v>
      </c>
      <c r="G23" s="131">
        <f t="shared" si="9"/>
        <v>0.2505401512</v>
      </c>
      <c r="H23" s="131">
        <f t="shared" si="9"/>
        <v>0.1843411552</v>
      </c>
      <c r="I23" s="131">
        <f t="shared" si="9"/>
        <v>0.1109839247</v>
      </c>
      <c r="J23" s="132">
        <f t="shared" si="9"/>
        <v>0.1401225457</v>
      </c>
      <c r="O23" s="19"/>
      <c r="P23" s="19"/>
    </row>
    <row r="24" ht="15.75" customHeight="1">
      <c r="B24" s="133"/>
      <c r="C24" s="135"/>
      <c r="D24" s="135"/>
      <c r="E24" s="135"/>
      <c r="F24" s="135"/>
      <c r="G24" s="135"/>
      <c r="H24" s="135"/>
      <c r="I24" s="135"/>
      <c r="J24" s="136"/>
      <c r="O24" s="19"/>
      <c r="P24" s="19"/>
    </row>
    <row r="25" ht="15.75" customHeight="1">
      <c r="B25" s="128" t="s">
        <v>254</v>
      </c>
      <c r="C25" s="137">
        <f t="shared" ref="C25:J25" si="10">C9</f>
        <v>7537</v>
      </c>
      <c r="D25" s="137">
        <f t="shared" si="10"/>
        <v>8255</v>
      </c>
      <c r="E25" s="137">
        <f t="shared" si="10"/>
        <v>7726</v>
      </c>
      <c r="F25" s="137">
        <f t="shared" si="10"/>
        <v>13169</v>
      </c>
      <c r="G25" s="137">
        <f t="shared" si="10"/>
        <v>11108</v>
      </c>
      <c r="H25" s="137">
        <f t="shared" si="10"/>
        <v>17728</v>
      </c>
      <c r="I25" s="137">
        <f t="shared" si="10"/>
        <v>20093</v>
      </c>
      <c r="J25" s="138">
        <f t="shared" si="10"/>
        <v>22359</v>
      </c>
      <c r="O25" s="19"/>
      <c r="P25" s="19"/>
    </row>
    <row r="26" ht="15.75" customHeight="1">
      <c r="B26" s="128" t="s">
        <v>67</v>
      </c>
      <c r="C26" s="137">
        <f t="shared" ref="C26:J26" si="11">C10</f>
        <v>38667</v>
      </c>
      <c r="D26" s="137">
        <f t="shared" si="11"/>
        <v>37318.5</v>
      </c>
      <c r="E26" s="137">
        <f t="shared" si="11"/>
        <v>37875.5</v>
      </c>
      <c r="F26" s="137">
        <f t="shared" si="11"/>
        <v>41036</v>
      </c>
      <c r="G26" s="137">
        <f t="shared" si="11"/>
        <v>45804.5</v>
      </c>
      <c r="H26" s="137">
        <f t="shared" si="11"/>
        <v>47663</v>
      </c>
      <c r="I26" s="137">
        <f t="shared" si="11"/>
        <v>49331</v>
      </c>
      <c r="J26" s="138">
        <f t="shared" si="11"/>
        <v>51567</v>
      </c>
      <c r="O26" s="19"/>
      <c r="P26" s="19"/>
    </row>
    <row r="27" ht="15.75" customHeight="1">
      <c r="B27" s="130" t="s">
        <v>256</v>
      </c>
      <c r="C27" s="139">
        <f t="shared" ref="C27:J27" si="12">C11</f>
        <v>0.1949207334</v>
      </c>
      <c r="D27" s="139">
        <f t="shared" si="12"/>
        <v>0.2212039605</v>
      </c>
      <c r="E27" s="139">
        <f t="shared" si="12"/>
        <v>0.2039841058</v>
      </c>
      <c r="F27" s="139">
        <f t="shared" si="12"/>
        <v>0.3209133444</v>
      </c>
      <c r="G27" s="139">
        <f t="shared" si="12"/>
        <v>0.2425089238</v>
      </c>
      <c r="H27" s="139">
        <f t="shared" si="12"/>
        <v>0.371944695</v>
      </c>
      <c r="I27" s="139">
        <f t="shared" si="12"/>
        <v>0.4073098052</v>
      </c>
      <c r="J27" s="140">
        <f t="shared" si="12"/>
        <v>0.4335912502</v>
      </c>
      <c r="O27" s="19"/>
      <c r="P27" s="19"/>
    </row>
    <row r="28" ht="15.75" customHeight="1">
      <c r="B28" s="133"/>
      <c r="C28" s="135"/>
      <c r="D28" s="135"/>
      <c r="E28" s="135"/>
      <c r="F28" s="135"/>
      <c r="G28" s="135"/>
      <c r="H28" s="135"/>
      <c r="I28" s="135"/>
      <c r="J28" s="136"/>
      <c r="O28" s="19"/>
      <c r="P28" s="19"/>
    </row>
    <row r="29" ht="15.75" customHeight="1">
      <c r="B29" s="141" t="s">
        <v>262</v>
      </c>
      <c r="C29" s="142">
        <f t="shared" ref="C29:J29" si="13">C23*C27</f>
        <v>-0.0814906768</v>
      </c>
      <c r="D29" s="142">
        <f t="shared" si="13"/>
        <v>0.0474027627</v>
      </c>
      <c r="E29" s="142">
        <f t="shared" si="13"/>
        <v>0.003907539174</v>
      </c>
      <c r="F29" s="143">
        <f t="shared" si="13"/>
        <v>0.007164440979</v>
      </c>
      <c r="G29" s="142">
        <f t="shared" si="13"/>
        <v>0.06075822245</v>
      </c>
      <c r="H29" s="142">
        <f t="shared" si="13"/>
        <v>0.06856471477</v>
      </c>
      <c r="I29" s="142">
        <f t="shared" si="13"/>
        <v>0.04520484077</v>
      </c>
      <c r="J29" s="142">
        <f t="shared" si="13"/>
        <v>0.06075590979</v>
      </c>
      <c r="K29" s="144" t="s">
        <v>260</v>
      </c>
      <c r="L29" s="7"/>
      <c r="M29" s="7"/>
      <c r="N29" s="8"/>
      <c r="O29" s="145"/>
    </row>
    <row r="30" ht="15.75" customHeight="1">
      <c r="B30" s="151"/>
      <c r="C30" s="147">
        <v>-0.0863</v>
      </c>
      <c r="D30" s="147">
        <v>0.0463</v>
      </c>
      <c r="E30" s="147">
        <v>0.0039</v>
      </c>
      <c r="F30" s="147">
        <v>0.0214</v>
      </c>
      <c r="G30" s="147">
        <v>0.059</v>
      </c>
      <c r="H30" s="147">
        <v>0.0678</v>
      </c>
      <c r="I30" s="147">
        <v>0.0441</v>
      </c>
      <c r="J30" s="147">
        <v>0.0595</v>
      </c>
      <c r="K30" s="14"/>
      <c r="L30" s="15"/>
      <c r="M30" s="15"/>
      <c r="N30" s="1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8">
    <mergeCell ref="B1:J1"/>
    <mergeCell ref="B2:J2"/>
    <mergeCell ref="B3:J3"/>
    <mergeCell ref="K17:N18"/>
    <mergeCell ref="O17:P18"/>
    <mergeCell ref="B19:J19"/>
    <mergeCell ref="K29:N30"/>
    <mergeCell ref="O29:P3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17.44"/>
    <col customWidth="1" min="3" max="3" width="14.44"/>
    <col customWidth="1" min="4" max="13" width="10.44"/>
    <col customWidth="1" min="14" max="26" width="11.11"/>
  </cols>
  <sheetData>
    <row r="1" ht="15.75" customHeight="1">
      <c r="B1" s="152" t="s">
        <v>263</v>
      </c>
      <c r="C1" s="3"/>
      <c r="E1" s="153" t="s">
        <v>264</v>
      </c>
    </row>
    <row r="2" ht="15.75" customHeight="1">
      <c r="B2" s="154" t="s">
        <v>265</v>
      </c>
      <c r="C2" s="154" t="s">
        <v>266</v>
      </c>
    </row>
    <row r="3" ht="15.75" customHeight="1">
      <c r="B3" s="154">
        <v>2000.0</v>
      </c>
      <c r="C3" s="155">
        <v>-0.1465</v>
      </c>
    </row>
    <row r="4" ht="15.75" customHeight="1">
      <c r="B4" s="154">
        <v>2001.0</v>
      </c>
      <c r="C4" s="155">
        <v>-0.1618</v>
      </c>
    </row>
    <row r="5" ht="15.75" customHeight="1">
      <c r="B5" s="154">
        <v>2002.0</v>
      </c>
      <c r="C5" s="155">
        <v>0.0325</v>
      </c>
      <c r="E5" s="156" t="s">
        <v>267</v>
      </c>
      <c r="F5" s="3"/>
      <c r="G5" s="157">
        <f>AVERAGE(C3:C27)</f>
        <v>0.153348</v>
      </c>
    </row>
    <row r="6" ht="15.75" customHeight="1">
      <c r="B6" s="154">
        <v>2003.0</v>
      </c>
      <c r="C6" s="155">
        <v>0.7190000000000001</v>
      </c>
      <c r="E6" s="158" t="s">
        <v>268</v>
      </c>
      <c r="F6" s="158"/>
      <c r="G6" s="157">
        <v>0.0129</v>
      </c>
    </row>
    <row r="7" ht="15.75" customHeight="1">
      <c r="B7" s="154">
        <v>2004.0</v>
      </c>
      <c r="C7" s="155">
        <v>0.10679999999999999</v>
      </c>
      <c r="E7" s="159" t="s">
        <v>269</v>
      </c>
      <c r="F7" s="3"/>
      <c r="G7" s="160">
        <f>SUM(G5:G6)</f>
        <v>0.166248</v>
      </c>
    </row>
    <row r="8" ht="15.75" customHeight="1">
      <c r="B8" s="154">
        <v>2005.0</v>
      </c>
      <c r="C8" s="155">
        <v>0.36340000000000006</v>
      </c>
    </row>
    <row r="9" ht="15.75" customHeight="1">
      <c r="B9" s="154">
        <v>2006.0</v>
      </c>
      <c r="C9" s="155">
        <v>0.3983</v>
      </c>
    </row>
    <row r="10" ht="15.75" customHeight="1">
      <c r="B10" s="154">
        <v>2007.0</v>
      </c>
      <c r="C10" s="155">
        <v>0.5477000000000001</v>
      </c>
    </row>
    <row r="11" ht="15.75" customHeight="1">
      <c r="B11" s="154">
        <v>2008.0</v>
      </c>
      <c r="C11" s="155">
        <v>-0.5179</v>
      </c>
    </row>
    <row r="12" ht="15.75" customHeight="1">
      <c r="B12" s="154">
        <v>2009.0</v>
      </c>
      <c r="C12" s="155">
        <v>0.7576</v>
      </c>
    </row>
    <row r="13" ht="15.75" customHeight="1">
      <c r="B13" s="154">
        <v>2010.0</v>
      </c>
      <c r="C13" s="155">
        <v>0.1795</v>
      </c>
    </row>
    <row r="14" ht="15.75" customHeight="1">
      <c r="B14" s="154">
        <v>2011.0</v>
      </c>
      <c r="C14" s="155">
        <v>-0.2462</v>
      </c>
    </row>
    <row r="15" ht="15.75" customHeight="1">
      <c r="B15" s="154">
        <v>2012.0</v>
      </c>
      <c r="C15" s="155">
        <v>0.27699999999999997</v>
      </c>
    </row>
    <row r="16" ht="15.75" customHeight="1">
      <c r="B16" s="154">
        <v>2013.0</v>
      </c>
      <c r="C16" s="155">
        <v>0.0676</v>
      </c>
    </row>
    <row r="17" ht="15.75" customHeight="1">
      <c r="B17" s="154">
        <v>2014.0</v>
      </c>
      <c r="C17" s="155">
        <v>0.3139</v>
      </c>
    </row>
    <row r="18" ht="15.75" customHeight="1">
      <c r="B18" s="154">
        <v>2015.0</v>
      </c>
      <c r="C18" s="155">
        <v>-0.0406</v>
      </c>
    </row>
    <row r="19" ht="15.75" customHeight="1">
      <c r="B19" s="154">
        <v>2016.0</v>
      </c>
      <c r="C19" s="155">
        <v>0.0301</v>
      </c>
    </row>
    <row r="20" ht="15.75" customHeight="1">
      <c r="B20" s="154">
        <v>2017.0</v>
      </c>
      <c r="C20" s="155">
        <v>0.2865</v>
      </c>
    </row>
    <row r="21" ht="15.75" customHeight="1">
      <c r="B21" s="154">
        <v>2018.0</v>
      </c>
      <c r="C21" s="155">
        <v>0.0315</v>
      </c>
    </row>
    <row r="22" ht="15.75" customHeight="1">
      <c r="B22" s="154">
        <v>2019.0</v>
      </c>
      <c r="C22" s="155">
        <v>0.1202</v>
      </c>
    </row>
    <row r="23" ht="15.75" customHeight="1">
      <c r="B23" s="154">
        <v>2020.0</v>
      </c>
      <c r="C23" s="155">
        <v>0.149</v>
      </c>
    </row>
    <row r="24" ht="15.75" customHeight="1">
      <c r="B24" s="154">
        <v>2021.0</v>
      </c>
      <c r="C24" s="155">
        <v>0.2412</v>
      </c>
    </row>
    <row r="25" ht="15.75" customHeight="1">
      <c r="B25" s="154">
        <v>2022.0</v>
      </c>
      <c r="C25" s="155">
        <v>0.0432</v>
      </c>
    </row>
    <row r="26" ht="15.75" customHeight="1">
      <c r="B26" s="154">
        <v>2023.0</v>
      </c>
      <c r="C26" s="155">
        <v>0.1942</v>
      </c>
    </row>
    <row r="27" ht="15.75" customHeight="1">
      <c r="B27" s="154">
        <v>2024.0</v>
      </c>
      <c r="C27" s="161">
        <v>0.0875</v>
      </c>
    </row>
    <row r="28" ht="15.75" customHeight="1">
      <c r="B28" s="162"/>
      <c r="C28" s="163"/>
      <c r="D28" s="18"/>
      <c r="E28" s="18"/>
      <c r="F28" s="18"/>
      <c r="G28" s="18"/>
      <c r="H28" s="1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C1"/>
    <mergeCell ref="E1:G1"/>
    <mergeCell ref="E5:F5"/>
    <mergeCell ref="E7:F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
    <col customWidth="1" min="2" max="2" width="14.11"/>
    <col customWidth="1" min="3" max="3" width="23.89"/>
    <col customWidth="1" min="4" max="4" width="19.89"/>
    <col customWidth="1" min="5" max="5" width="10.44"/>
    <col customWidth="1" min="6" max="6" width="22.33"/>
    <col customWidth="1" min="7" max="7" width="23.0"/>
    <col customWidth="1" min="8" max="8" width="10.44"/>
    <col customWidth="1" min="9" max="9" width="18.11"/>
    <col customWidth="1" min="10" max="10" width="22.67"/>
    <col customWidth="1" min="11" max="11" width="11.67"/>
    <col customWidth="1" min="12" max="12" width="39.44"/>
    <col customWidth="1" min="13" max="13" width="15.67"/>
    <col customWidth="1" min="14" max="17" width="10.44"/>
    <col customWidth="1" min="18" max="18" width="14.67"/>
    <col customWidth="1" min="19" max="19" width="10.44"/>
    <col customWidth="1" min="20" max="20" width="20.11"/>
    <col customWidth="1" min="21" max="21" width="16.78"/>
    <col customWidth="1" min="22" max="25" width="10.44"/>
    <col customWidth="1" min="26" max="26" width="23.44"/>
    <col customWidth="1" min="27" max="27" width="22.78"/>
    <col customWidth="1" min="28" max="28" width="10.44"/>
    <col customWidth="1" min="29" max="29" width="23.67"/>
    <col customWidth="1" min="30" max="30" width="24.11"/>
    <col customWidth="1" min="31" max="31" width="10.44"/>
    <col customWidth="1" min="32" max="32" width="23.0"/>
    <col customWidth="1" min="33" max="33" width="18.56"/>
    <col customWidth="1" min="34" max="34" width="10.44"/>
    <col customWidth="1" min="35" max="35" width="17.22"/>
    <col customWidth="1" min="36" max="36" width="13.22"/>
  </cols>
  <sheetData>
    <row r="1" ht="26.25" customHeight="1">
      <c r="A1" s="164"/>
      <c r="B1" s="164"/>
      <c r="Z1" s="165"/>
      <c r="AA1" s="166"/>
      <c r="AC1" s="167" t="s">
        <v>270</v>
      </c>
      <c r="AD1" s="168"/>
      <c r="AE1" s="168"/>
      <c r="AF1" s="169"/>
      <c r="AG1" s="170"/>
      <c r="AI1" s="165"/>
      <c r="AJ1" s="166"/>
    </row>
    <row r="2" ht="26.25" customHeight="1">
      <c r="A2" s="171"/>
      <c r="B2" s="171"/>
      <c r="C2" s="172"/>
      <c r="Z2" s="165"/>
      <c r="AA2" s="166"/>
      <c r="AC2" s="165"/>
      <c r="AD2" s="166"/>
      <c r="AF2" s="165"/>
      <c r="AG2" s="166"/>
      <c r="AI2" s="165"/>
      <c r="AJ2" s="166"/>
    </row>
    <row r="3" ht="15.75" customHeight="1">
      <c r="A3" s="171"/>
      <c r="B3" s="171"/>
      <c r="C3" s="173" t="s">
        <v>271</v>
      </c>
      <c r="D3" s="3"/>
      <c r="F3" s="174" t="s">
        <v>272</v>
      </c>
      <c r="G3" s="3"/>
      <c r="J3" s="175" t="s">
        <v>273</v>
      </c>
      <c r="K3" s="176"/>
      <c r="Z3" s="165"/>
      <c r="AA3" s="166"/>
      <c r="AC3" s="165"/>
      <c r="AD3" s="166"/>
      <c r="AF3" s="165"/>
      <c r="AG3" s="166"/>
      <c r="AI3" s="165"/>
      <c r="AJ3" s="166"/>
    </row>
    <row r="4" ht="28.5" customHeight="1">
      <c r="A4" s="177"/>
      <c r="B4" s="178" t="s">
        <v>274</v>
      </c>
      <c r="C4" s="179" t="s">
        <v>275</v>
      </c>
      <c r="D4" s="179" t="s">
        <v>276</v>
      </c>
      <c r="F4" s="179" t="s">
        <v>275</v>
      </c>
      <c r="G4" s="179" t="s">
        <v>276</v>
      </c>
      <c r="J4" s="180"/>
      <c r="K4" s="181"/>
      <c r="Z4" s="182" t="s">
        <v>277</v>
      </c>
      <c r="AA4" s="3"/>
      <c r="AB4" s="183"/>
      <c r="AC4" s="184" t="s">
        <v>278</v>
      </c>
      <c r="AD4" s="185"/>
      <c r="AE4" s="183"/>
      <c r="AF4" s="186" t="s">
        <v>279</v>
      </c>
      <c r="AG4" s="3"/>
      <c r="AH4" s="183"/>
      <c r="AI4" s="187" t="s">
        <v>280</v>
      </c>
      <c r="AJ4" s="3"/>
    </row>
    <row r="5" ht="15.75" customHeight="1">
      <c r="A5" s="177"/>
      <c r="B5" s="178" t="s">
        <v>281</v>
      </c>
      <c r="C5" s="188">
        <v>23508.4</v>
      </c>
      <c r="D5" s="189">
        <v>0.018</v>
      </c>
      <c r="F5" s="190">
        <v>364.5</v>
      </c>
      <c r="G5" s="189">
        <v>0.003</v>
      </c>
      <c r="J5" s="191" t="s">
        <v>282</v>
      </c>
      <c r="K5" s="192">
        <f>K19</f>
        <v>1.400593891</v>
      </c>
      <c r="Z5" s="193" t="s">
        <v>275</v>
      </c>
      <c r="AA5" s="193" t="s">
        <v>276</v>
      </c>
      <c r="AC5" s="193" t="s">
        <v>275</v>
      </c>
      <c r="AD5" s="193" t="s">
        <v>276</v>
      </c>
      <c r="AF5" s="193" t="s">
        <v>275</v>
      </c>
      <c r="AG5" s="193" t="s">
        <v>276</v>
      </c>
      <c r="AI5" s="193" t="s">
        <v>275</v>
      </c>
      <c r="AJ5" s="193" t="s">
        <v>276</v>
      </c>
    </row>
    <row r="6" ht="15.75" customHeight="1">
      <c r="A6" s="177"/>
      <c r="B6" s="178" t="s">
        <v>283</v>
      </c>
      <c r="C6" s="188">
        <v>23092.2</v>
      </c>
      <c r="D6" s="189">
        <v>-0.0048</v>
      </c>
      <c r="F6" s="190">
        <v>363.4</v>
      </c>
      <c r="G6" s="189">
        <v>-0.0273</v>
      </c>
      <c r="J6" s="180" t="s">
        <v>284</v>
      </c>
      <c r="K6" s="194">
        <v>0.75</v>
      </c>
      <c r="T6" s="41" t="s">
        <v>285</v>
      </c>
      <c r="U6" s="41"/>
      <c r="V6" s="41"/>
      <c r="W6" s="41"/>
      <c r="Z6" s="195">
        <v>324.0</v>
      </c>
      <c r="AA6" s="196">
        <v>0.0011</v>
      </c>
      <c r="AC6" s="190">
        <v>301.65</v>
      </c>
      <c r="AD6" s="189">
        <v>0.0196</v>
      </c>
      <c r="AF6" s="197">
        <v>80.55</v>
      </c>
      <c r="AG6" s="196">
        <v>0.0477</v>
      </c>
      <c r="AI6" s="197">
        <v>997.55</v>
      </c>
      <c r="AJ6" s="196">
        <v>-0.0144</v>
      </c>
    </row>
    <row r="7" ht="15.75" customHeight="1">
      <c r="A7" s="177"/>
      <c r="B7" s="178">
        <v>45992.0</v>
      </c>
      <c r="C7" s="188">
        <v>23203.2</v>
      </c>
      <c r="D7" s="189">
        <v>-0.0097</v>
      </c>
      <c r="F7" s="190">
        <v>373.6</v>
      </c>
      <c r="G7" s="189">
        <v>0.0484</v>
      </c>
      <c r="J7" s="180"/>
      <c r="K7" s="192"/>
      <c r="Z7" s="198">
        <v>323.65</v>
      </c>
      <c r="AA7" s="196">
        <v>-0.0077</v>
      </c>
      <c r="AC7" s="190">
        <v>295.85</v>
      </c>
      <c r="AD7" s="189">
        <v>-0.0223</v>
      </c>
      <c r="AF7" s="197">
        <v>76.88</v>
      </c>
      <c r="AG7" s="196">
        <v>-0.0438</v>
      </c>
      <c r="AI7" s="199">
        <v>1012.1</v>
      </c>
      <c r="AJ7" s="196">
        <v>-0.0613</v>
      </c>
    </row>
    <row r="8" ht="15.75" customHeight="1">
      <c r="A8" s="177"/>
      <c r="B8" s="178">
        <v>45778.0</v>
      </c>
      <c r="C8" s="188">
        <v>23431.5</v>
      </c>
      <c r="D8" s="189">
        <v>-0.0239</v>
      </c>
      <c r="F8" s="190">
        <v>356.35</v>
      </c>
      <c r="G8" s="189">
        <v>-0.1016</v>
      </c>
      <c r="J8" s="180" t="s">
        <v>286</v>
      </c>
      <c r="K8" s="192">
        <v>1.0</v>
      </c>
      <c r="Z8" s="198">
        <v>326.15</v>
      </c>
      <c r="AA8" s="196">
        <v>0.0581</v>
      </c>
      <c r="AC8" s="190">
        <v>302.6</v>
      </c>
      <c r="AD8" s="189">
        <v>0.0097</v>
      </c>
      <c r="AF8" s="197">
        <v>80.4</v>
      </c>
      <c r="AG8" s="196">
        <v>0.0496</v>
      </c>
      <c r="AI8" s="199">
        <v>1078.2</v>
      </c>
      <c r="AJ8" s="196">
        <v>0.1433</v>
      </c>
    </row>
    <row r="9" ht="15.75" customHeight="1">
      <c r="A9" s="177"/>
      <c r="B9" s="178" t="s">
        <v>287</v>
      </c>
      <c r="C9" s="188">
        <v>24004.75</v>
      </c>
      <c r="D9" s="189">
        <v>0.008</v>
      </c>
      <c r="F9" s="190">
        <v>396.65</v>
      </c>
      <c r="G9" s="189">
        <v>-0.0059</v>
      </c>
      <c r="J9" s="180" t="s">
        <v>288</v>
      </c>
      <c r="K9" s="194">
        <f>1-K6</f>
        <v>0.25</v>
      </c>
      <c r="Z9" s="198">
        <v>308.25</v>
      </c>
      <c r="AA9" s="196">
        <v>-0.093</v>
      </c>
      <c r="AC9" s="190">
        <v>299.7</v>
      </c>
      <c r="AD9" s="189">
        <v>-0.0517</v>
      </c>
      <c r="AF9" s="197">
        <v>76.6</v>
      </c>
      <c r="AG9" s="196">
        <v>-0.0781</v>
      </c>
      <c r="AI9" s="197">
        <v>943.05</v>
      </c>
      <c r="AJ9" s="196">
        <v>-0.0917</v>
      </c>
    </row>
    <row r="10" ht="15.75" customHeight="1">
      <c r="A10" s="177"/>
      <c r="B10" s="178" t="s">
        <v>289</v>
      </c>
      <c r="C10" s="188">
        <v>23813.4</v>
      </c>
      <c r="D10" s="189">
        <v>0.0096</v>
      </c>
      <c r="F10" s="190">
        <v>399.0</v>
      </c>
      <c r="G10" s="189">
        <v>-0.0052</v>
      </c>
      <c r="J10" s="200"/>
      <c r="K10" s="201"/>
      <c r="Z10" s="198">
        <v>339.85</v>
      </c>
      <c r="AA10" s="196">
        <v>0.0145</v>
      </c>
      <c r="AC10" s="190">
        <v>316.05</v>
      </c>
      <c r="AD10" s="189">
        <v>0.0215</v>
      </c>
      <c r="AF10" s="197">
        <v>83.09</v>
      </c>
      <c r="AG10" s="196">
        <v>0.0344</v>
      </c>
      <c r="AI10" s="199">
        <v>1038.25</v>
      </c>
      <c r="AJ10" s="196">
        <v>-0.0149</v>
      </c>
    </row>
    <row r="11" ht="15.75" customHeight="1">
      <c r="A11" s="177"/>
      <c r="B11" s="178" t="s">
        <v>290</v>
      </c>
      <c r="C11" s="188">
        <v>23587.5</v>
      </c>
      <c r="D11" s="189">
        <v>-0.0477</v>
      </c>
      <c r="F11" s="190">
        <v>401.1</v>
      </c>
      <c r="G11" s="189">
        <v>-0.0638</v>
      </c>
      <c r="J11" s="202" t="s">
        <v>291</v>
      </c>
      <c r="K11" s="203">
        <f>K5*K6+K8*K9</f>
        <v>1.300445418</v>
      </c>
      <c r="L11" s="204" t="s">
        <v>292</v>
      </c>
      <c r="Z11" s="198">
        <v>335.0</v>
      </c>
      <c r="AA11" s="196">
        <v>0.0053</v>
      </c>
      <c r="AC11" s="190">
        <v>309.4</v>
      </c>
      <c r="AD11" s="189">
        <v>-0.0203</v>
      </c>
      <c r="AF11" s="197">
        <v>80.33</v>
      </c>
      <c r="AG11" s="196">
        <v>-0.014</v>
      </c>
      <c r="AI11" s="199">
        <v>1054.0</v>
      </c>
      <c r="AJ11" s="196">
        <v>0.019</v>
      </c>
    </row>
    <row r="12" ht="15.75" customHeight="1">
      <c r="A12" s="177"/>
      <c r="B12" s="178">
        <v>45516.0</v>
      </c>
      <c r="C12" s="188">
        <v>24768.3</v>
      </c>
      <c r="D12" s="189">
        <v>0.0037</v>
      </c>
      <c r="F12" s="190">
        <v>428.45</v>
      </c>
      <c r="G12" s="189">
        <v>-0.0256</v>
      </c>
      <c r="Z12" s="198">
        <v>333.25</v>
      </c>
      <c r="AA12" s="196">
        <v>-0.0669</v>
      </c>
      <c r="AC12" s="190">
        <v>315.8</v>
      </c>
      <c r="AD12" s="189">
        <v>-0.0541</v>
      </c>
      <c r="AF12" s="197">
        <v>81.47</v>
      </c>
      <c r="AG12" s="196">
        <v>-0.0465</v>
      </c>
      <c r="AI12" s="199">
        <v>1034.35</v>
      </c>
      <c r="AJ12" s="196">
        <v>-0.1369</v>
      </c>
    </row>
    <row r="13" ht="15.75" customHeight="1">
      <c r="A13" s="177"/>
      <c r="B13" s="178">
        <v>45303.0</v>
      </c>
      <c r="C13" s="188">
        <v>24677.8</v>
      </c>
      <c r="D13" s="189">
        <v>0.0227</v>
      </c>
      <c r="F13" s="190">
        <v>439.7</v>
      </c>
      <c r="G13" s="189">
        <v>0.0617</v>
      </c>
      <c r="Z13" s="198">
        <v>357.15</v>
      </c>
      <c r="AA13" s="196">
        <v>-0.0334</v>
      </c>
      <c r="AC13" s="190">
        <v>333.85</v>
      </c>
      <c r="AD13" s="189">
        <v>0.0151</v>
      </c>
      <c r="AF13" s="197">
        <v>85.44</v>
      </c>
      <c r="AG13" s="196">
        <v>0.0067</v>
      </c>
      <c r="AI13" s="199">
        <v>1198.4</v>
      </c>
      <c r="AJ13" s="196">
        <v>-0.0101</v>
      </c>
    </row>
    <row r="14" ht="15.75" customHeight="1">
      <c r="A14" s="177"/>
      <c r="B14" s="178" t="s">
        <v>293</v>
      </c>
      <c r="C14" s="188">
        <v>24131.1</v>
      </c>
      <c r="D14" s="189">
        <v>0.0094</v>
      </c>
      <c r="F14" s="190">
        <v>414.15</v>
      </c>
      <c r="G14" s="189">
        <v>0.001</v>
      </c>
      <c r="T14" s="205"/>
      <c r="Z14" s="198">
        <v>369.5</v>
      </c>
      <c r="AA14" s="196">
        <v>0.0161</v>
      </c>
      <c r="AC14" s="190">
        <v>328.9</v>
      </c>
      <c r="AD14" s="189">
        <v>-0.0015</v>
      </c>
      <c r="AF14" s="197">
        <v>84.87</v>
      </c>
      <c r="AG14" s="196">
        <v>0.0421</v>
      </c>
      <c r="AI14" s="199">
        <v>1210.65</v>
      </c>
      <c r="AJ14" s="196">
        <v>-0.0855</v>
      </c>
    </row>
    <row r="15" ht="15.75" customHeight="1">
      <c r="A15" s="177"/>
      <c r="B15" s="178" t="s">
        <v>294</v>
      </c>
      <c r="C15" s="188">
        <v>23907.25</v>
      </c>
      <c r="D15" s="189">
        <v>0.0159</v>
      </c>
      <c r="F15" s="190">
        <v>413.75</v>
      </c>
      <c r="G15" s="189">
        <v>0.0225</v>
      </c>
      <c r="T15" s="206" t="s">
        <v>295</v>
      </c>
      <c r="U15" s="176"/>
      <c r="Z15" s="198">
        <v>363.65</v>
      </c>
      <c r="AA15" s="196">
        <v>-0.0049</v>
      </c>
      <c r="AC15" s="190">
        <v>329.4</v>
      </c>
      <c r="AD15" s="189">
        <v>-0.0224</v>
      </c>
      <c r="AF15" s="197">
        <v>81.44</v>
      </c>
      <c r="AG15" s="196">
        <v>0.0288</v>
      </c>
      <c r="AI15" s="199">
        <v>1323.9</v>
      </c>
      <c r="AJ15" s="196">
        <v>0.2587</v>
      </c>
    </row>
    <row r="16" ht="15.75" customHeight="1">
      <c r="A16" s="177"/>
      <c r="B16" s="178">
        <v>45576.0</v>
      </c>
      <c r="C16" s="188">
        <v>23532.7</v>
      </c>
      <c r="D16" s="189">
        <v>-0.0255</v>
      </c>
      <c r="F16" s="190">
        <v>404.65</v>
      </c>
      <c r="G16" s="189">
        <v>-0.0649</v>
      </c>
      <c r="T16" s="207" t="s">
        <v>296</v>
      </c>
      <c r="U16" s="208">
        <f>SLOPE(AA6:AA213,D5:D212)</f>
        <v>0.7795316331</v>
      </c>
      <c r="Z16" s="198">
        <v>365.45</v>
      </c>
      <c r="AA16" s="196">
        <v>-0.0189</v>
      </c>
      <c r="AC16" s="190">
        <v>336.95</v>
      </c>
      <c r="AD16" s="189">
        <v>0.0796</v>
      </c>
      <c r="AF16" s="197">
        <v>79.16</v>
      </c>
      <c r="AG16" s="196">
        <v>0.01</v>
      </c>
      <c r="AI16" s="199">
        <v>1051.8</v>
      </c>
      <c r="AJ16" s="196">
        <v>-0.2942</v>
      </c>
    </row>
    <row r="17" ht="15.75" customHeight="1">
      <c r="A17" s="177"/>
      <c r="B17" s="178">
        <v>45362.0</v>
      </c>
      <c r="C17" s="188">
        <v>24148.2</v>
      </c>
      <c r="D17" s="189">
        <v>-0.0064</v>
      </c>
      <c r="F17" s="190">
        <v>432.75</v>
      </c>
      <c r="G17" s="189">
        <v>-0.0285</v>
      </c>
      <c r="I17" s="209" t="s">
        <v>297</v>
      </c>
      <c r="J17" s="210" t="s">
        <v>298</v>
      </c>
      <c r="K17" s="211">
        <f>SLOPE(G5:G212,D5:D212)</f>
        <v>1.400593891</v>
      </c>
      <c r="L17" s="212"/>
      <c r="M17" s="213"/>
      <c r="T17" s="214" t="s">
        <v>299</v>
      </c>
      <c r="U17" s="215">
        <f>SLOPE(AD6:AD213,D5:D212)</f>
        <v>0.4919556007</v>
      </c>
      <c r="Z17" s="198">
        <v>372.5</v>
      </c>
      <c r="AA17" s="196">
        <v>-0.0632</v>
      </c>
      <c r="AC17" s="190">
        <v>312.1</v>
      </c>
      <c r="AD17" s="189">
        <v>-0.0131</v>
      </c>
      <c r="AF17" s="197">
        <v>78.38</v>
      </c>
      <c r="AG17" s="196">
        <v>-0.0482</v>
      </c>
      <c r="AI17" s="199">
        <v>1490.3</v>
      </c>
      <c r="AJ17" s="196">
        <v>-0.0677</v>
      </c>
    </row>
    <row r="18" ht="15.75" customHeight="1">
      <c r="A18" s="177"/>
      <c r="B18" s="178" t="s">
        <v>300</v>
      </c>
      <c r="C18" s="188">
        <v>24304.35</v>
      </c>
      <c r="D18" s="189">
        <v>0.0051</v>
      </c>
      <c r="F18" s="190">
        <v>445.45</v>
      </c>
      <c r="G18" s="189">
        <v>0.0553</v>
      </c>
      <c r="I18" s="209" t="s">
        <v>301</v>
      </c>
      <c r="J18" s="216" t="s">
        <v>302</v>
      </c>
      <c r="K18" s="217">
        <f t="array" ref="K18">_xlfn.COVARIANCE.S(D5:D212,G5:G212/_xlfn.VAR.S(D5:D212))</f>
        <v>1.400593891</v>
      </c>
      <c r="L18" s="218"/>
      <c r="M18" s="219"/>
      <c r="T18" s="214" t="s">
        <v>303</v>
      </c>
      <c r="U18" s="215">
        <f>SLOPE(AG6:AG213,D5:D212)</f>
        <v>0.8292081634</v>
      </c>
      <c r="Z18" s="198">
        <v>397.65</v>
      </c>
      <c r="AA18" s="196">
        <v>-0.0333</v>
      </c>
      <c r="AC18" s="190">
        <v>316.25</v>
      </c>
      <c r="AD18" s="189">
        <v>-0.018</v>
      </c>
      <c r="AF18" s="197">
        <v>82.35</v>
      </c>
      <c r="AG18" s="196">
        <v>-0.0212</v>
      </c>
      <c r="AI18" s="199">
        <v>1598.55</v>
      </c>
      <c r="AJ18" s="196">
        <v>-0.0209</v>
      </c>
    </row>
    <row r="19" ht="15.75" customHeight="1">
      <c r="A19" s="177"/>
      <c r="B19" s="178" t="s">
        <v>304</v>
      </c>
      <c r="C19" s="188">
        <v>24180.8</v>
      </c>
      <c r="D19" s="189">
        <v>-0.0271</v>
      </c>
      <c r="F19" s="190">
        <v>422.1</v>
      </c>
      <c r="G19" s="189">
        <v>-0.0693</v>
      </c>
      <c r="I19" s="209" t="s">
        <v>305</v>
      </c>
      <c r="J19" s="220" t="s">
        <v>306</v>
      </c>
      <c r="K19" s="221">
        <f>K41</f>
        <v>1.400593891</v>
      </c>
      <c r="L19" s="222"/>
      <c r="M19" s="223"/>
      <c r="T19" s="224" t="s">
        <v>307</v>
      </c>
      <c r="U19" s="225">
        <f>SLOPE(AJ6:AJ213,D5:D212)</f>
        <v>1.065134918</v>
      </c>
      <c r="Z19" s="198">
        <v>411.35</v>
      </c>
      <c r="AA19" s="196">
        <v>0.0312</v>
      </c>
      <c r="AC19" s="190">
        <v>322.05</v>
      </c>
      <c r="AD19" s="189">
        <v>0.0198</v>
      </c>
      <c r="AF19" s="197">
        <v>84.13</v>
      </c>
      <c r="AG19" s="196">
        <v>0.0717</v>
      </c>
      <c r="AI19" s="199">
        <v>1632.65</v>
      </c>
      <c r="AJ19" s="196">
        <v>-0.0069</v>
      </c>
    </row>
    <row r="20" ht="15.75" customHeight="1">
      <c r="A20" s="177"/>
      <c r="B20" s="178" t="s">
        <v>308</v>
      </c>
      <c r="C20" s="188">
        <v>24854.05</v>
      </c>
      <c r="D20" s="189">
        <v>-0.0044</v>
      </c>
      <c r="F20" s="190">
        <v>453.55</v>
      </c>
      <c r="G20" s="189">
        <v>-0.0165</v>
      </c>
      <c r="Z20" s="198">
        <v>398.9</v>
      </c>
      <c r="AA20" s="196">
        <v>-0.0613</v>
      </c>
      <c r="AC20" s="190">
        <v>315.8</v>
      </c>
      <c r="AD20" s="189">
        <v>-0.0489</v>
      </c>
      <c r="AF20" s="197">
        <v>78.5</v>
      </c>
      <c r="AG20" s="196">
        <v>-0.0669</v>
      </c>
      <c r="AI20" s="199">
        <v>1644.0</v>
      </c>
      <c r="AJ20" s="196">
        <v>-0.053</v>
      </c>
    </row>
    <row r="21" ht="15.75" customHeight="1">
      <c r="A21" s="177"/>
      <c r="B21" s="178">
        <v>45453.0</v>
      </c>
      <c r="C21" s="188">
        <v>24964.25</v>
      </c>
      <c r="D21" s="189">
        <v>-0.002</v>
      </c>
      <c r="F21" s="190">
        <v>461.15</v>
      </c>
      <c r="G21" s="189">
        <v>-0.0118</v>
      </c>
      <c r="Z21" s="198">
        <v>424.95</v>
      </c>
      <c r="AA21" s="196">
        <v>0.0058</v>
      </c>
      <c r="AC21" s="190">
        <v>332.05</v>
      </c>
      <c r="AD21" s="189">
        <v>0.0061</v>
      </c>
      <c r="AF21" s="197">
        <v>84.13</v>
      </c>
      <c r="AG21" s="196">
        <v>-0.0747</v>
      </c>
      <c r="AI21" s="199">
        <v>1736.05</v>
      </c>
      <c r="AJ21" s="196">
        <v>-0.0313</v>
      </c>
    </row>
    <row r="22" ht="15.75" customHeight="1">
      <c r="A22" s="177"/>
      <c r="B22" s="178" t="s">
        <v>309</v>
      </c>
      <c r="C22" s="188">
        <v>25014.6</v>
      </c>
      <c r="D22" s="189">
        <v>-0.0445</v>
      </c>
      <c r="F22" s="190">
        <v>466.65</v>
      </c>
      <c r="G22" s="189">
        <v>-0.0388</v>
      </c>
      <c r="Z22" s="198">
        <v>422.5</v>
      </c>
      <c r="AA22" s="196">
        <v>-0.0185</v>
      </c>
      <c r="AC22" s="190">
        <v>330.05</v>
      </c>
      <c r="AD22" s="189">
        <v>-0.026</v>
      </c>
      <c r="AF22" s="197">
        <v>90.92</v>
      </c>
      <c r="AG22" s="196">
        <v>-0.0241</v>
      </c>
      <c r="AI22" s="199">
        <v>1792.2</v>
      </c>
      <c r="AJ22" s="196">
        <v>-0.005</v>
      </c>
    </row>
    <row r="23" ht="15.75" customHeight="1">
      <c r="A23" s="177"/>
      <c r="B23" s="178" t="s">
        <v>310</v>
      </c>
      <c r="C23" s="188">
        <v>26178.95</v>
      </c>
      <c r="D23" s="189">
        <v>0.015</v>
      </c>
      <c r="F23" s="190">
        <v>485.5</v>
      </c>
      <c r="G23" s="189">
        <v>0.0931</v>
      </c>
      <c r="Z23" s="198">
        <v>430.45</v>
      </c>
      <c r="AA23" s="196">
        <v>-0.0148</v>
      </c>
      <c r="AC23" s="190">
        <v>338.85</v>
      </c>
      <c r="AD23" s="189">
        <v>-0.0435</v>
      </c>
      <c r="AF23" s="197">
        <v>93.17</v>
      </c>
      <c r="AG23" s="196">
        <v>-0.0228</v>
      </c>
      <c r="AI23" s="199">
        <v>1801.2</v>
      </c>
      <c r="AJ23" s="196">
        <v>-0.0912</v>
      </c>
    </row>
    <row r="24" ht="15.75" customHeight="1">
      <c r="A24" s="177"/>
      <c r="B24" s="178" t="s">
        <v>311</v>
      </c>
      <c r="C24" s="188">
        <v>25790.95</v>
      </c>
      <c r="D24" s="189">
        <v>0.0171</v>
      </c>
      <c r="F24" s="190">
        <v>444.15</v>
      </c>
      <c r="G24" s="189">
        <v>0.0053</v>
      </c>
      <c r="J24" s="226" t="s">
        <v>312</v>
      </c>
      <c r="K24" s="227"/>
      <c r="L24" s="227"/>
      <c r="M24" s="227"/>
      <c r="N24" s="227"/>
      <c r="O24" s="227"/>
      <c r="P24" s="227"/>
      <c r="Q24" s="227"/>
      <c r="R24" s="228"/>
      <c r="Z24" s="198">
        <v>436.9</v>
      </c>
      <c r="AA24" s="196">
        <v>0.0305</v>
      </c>
      <c r="AC24" s="190">
        <v>354.25</v>
      </c>
      <c r="AD24" s="189">
        <v>0.0393</v>
      </c>
      <c r="AF24" s="197">
        <v>95.34</v>
      </c>
      <c r="AG24" s="196">
        <v>0.0073</v>
      </c>
      <c r="AI24" s="199">
        <v>1981.85</v>
      </c>
      <c r="AJ24" s="196">
        <v>-0.011</v>
      </c>
    </row>
    <row r="25" ht="15.75" customHeight="1">
      <c r="A25" s="177"/>
      <c r="B25" s="178">
        <v>45513.0</v>
      </c>
      <c r="C25" s="188">
        <v>25356.5</v>
      </c>
      <c r="D25" s="189">
        <v>0.0203</v>
      </c>
      <c r="F25" s="190">
        <v>441.8</v>
      </c>
      <c r="G25" s="189">
        <v>0.0595</v>
      </c>
      <c r="J25" s="229"/>
      <c r="K25" s="230"/>
      <c r="L25" s="230"/>
      <c r="M25" s="230"/>
      <c r="N25" s="230"/>
      <c r="O25" s="230"/>
      <c r="P25" s="230"/>
      <c r="Q25" s="230"/>
      <c r="R25" s="136"/>
      <c r="Z25" s="198">
        <v>423.95</v>
      </c>
      <c r="AA25" s="196">
        <v>0.0562</v>
      </c>
      <c r="AC25" s="190">
        <v>340.85</v>
      </c>
      <c r="AD25" s="189">
        <v>0.0107</v>
      </c>
      <c r="AF25" s="197">
        <v>94.65</v>
      </c>
      <c r="AG25" s="196">
        <v>0.0039</v>
      </c>
      <c r="AI25" s="199">
        <v>2003.95</v>
      </c>
      <c r="AJ25" s="196">
        <v>0.1207</v>
      </c>
    </row>
    <row r="26" ht="15.75" customHeight="1">
      <c r="A26" s="177"/>
      <c r="B26" s="178">
        <v>45300.0</v>
      </c>
      <c r="C26" s="188">
        <v>24852.15</v>
      </c>
      <c r="D26" s="189">
        <v>-0.0152</v>
      </c>
      <c r="F26" s="190">
        <v>417.0</v>
      </c>
      <c r="G26" s="189">
        <v>-0.0406</v>
      </c>
      <c r="J26" s="231" t="s">
        <v>313</v>
      </c>
      <c r="K26" s="232"/>
      <c r="L26" s="230"/>
      <c r="M26" s="230"/>
      <c r="N26" s="230"/>
      <c r="O26" s="230"/>
      <c r="P26" s="230"/>
      <c r="Q26" s="230"/>
      <c r="R26" s="136"/>
      <c r="Z26" s="198">
        <v>401.4</v>
      </c>
      <c r="AA26" s="196">
        <v>0.0167</v>
      </c>
      <c r="AC26" s="190">
        <v>337.25</v>
      </c>
      <c r="AD26" s="189">
        <v>0.0226</v>
      </c>
      <c r="AF26" s="197">
        <v>94.28</v>
      </c>
      <c r="AG26" s="196">
        <v>-0.0188</v>
      </c>
      <c r="AI26" s="199">
        <v>1788.2</v>
      </c>
      <c r="AJ26" s="196">
        <v>-0.0403</v>
      </c>
    </row>
    <row r="27" ht="15.75" customHeight="1">
      <c r="A27" s="177"/>
      <c r="B27" s="178" t="s">
        <v>314</v>
      </c>
      <c r="C27" s="188">
        <v>25235.9</v>
      </c>
      <c r="D27" s="189">
        <v>0.0166</v>
      </c>
      <c r="F27" s="190">
        <v>434.65</v>
      </c>
      <c r="G27" s="189">
        <v>0.04</v>
      </c>
      <c r="J27" s="229" t="s">
        <v>315</v>
      </c>
      <c r="K27" s="230">
        <v>0.5225087901341205</v>
      </c>
      <c r="L27" s="230"/>
      <c r="M27" s="230"/>
      <c r="N27" s="230"/>
      <c r="O27" s="230"/>
      <c r="P27" s="230"/>
      <c r="Q27" s="230"/>
      <c r="R27" s="136"/>
      <c r="Z27" s="198">
        <v>394.8</v>
      </c>
      <c r="AA27" s="196">
        <v>-0.0514</v>
      </c>
      <c r="AC27" s="190">
        <v>329.8</v>
      </c>
      <c r="AD27" s="189">
        <v>-0.0225</v>
      </c>
      <c r="AF27" s="197">
        <v>96.09</v>
      </c>
      <c r="AG27" s="196">
        <v>-3.0E-4</v>
      </c>
      <c r="AI27" s="199">
        <v>1863.3</v>
      </c>
      <c r="AJ27" s="196">
        <v>0.0137</v>
      </c>
    </row>
    <row r="28" ht="15.75" customHeight="1">
      <c r="A28" s="177"/>
      <c r="B28" s="178" t="s">
        <v>316</v>
      </c>
      <c r="C28" s="188">
        <v>24823.15</v>
      </c>
      <c r="D28" s="189">
        <v>0.0115</v>
      </c>
      <c r="F28" s="190">
        <v>417.95</v>
      </c>
      <c r="G28" s="189">
        <v>0.0104</v>
      </c>
      <c r="J28" s="229" t="s">
        <v>317</v>
      </c>
      <c r="K28" s="233">
        <v>0.2730154357674224</v>
      </c>
      <c r="L28" s="18" t="s">
        <v>318</v>
      </c>
      <c r="M28" s="230"/>
      <c r="N28" s="230"/>
      <c r="O28" s="230"/>
      <c r="P28" s="230"/>
      <c r="Q28" s="230"/>
      <c r="R28" s="136"/>
      <c r="Z28" s="198">
        <v>416.2</v>
      </c>
      <c r="AA28" s="196">
        <v>0.0355</v>
      </c>
      <c r="AC28" s="190">
        <v>337.4</v>
      </c>
      <c r="AD28" s="189">
        <v>0.0034</v>
      </c>
      <c r="AF28" s="197">
        <v>96.12</v>
      </c>
      <c r="AG28" s="196">
        <v>-0.01</v>
      </c>
      <c r="AI28" s="199">
        <v>1838.15</v>
      </c>
      <c r="AJ28" s="196">
        <v>-0.033</v>
      </c>
    </row>
    <row r="29" ht="15.75" customHeight="1">
      <c r="A29" s="177"/>
      <c r="B29" s="178">
        <v>45604.0</v>
      </c>
      <c r="C29" s="188">
        <v>24541.15</v>
      </c>
      <c r="D29" s="189">
        <v>0.0071</v>
      </c>
      <c r="F29" s="190">
        <v>413.65</v>
      </c>
      <c r="G29" s="189">
        <v>-0.0098</v>
      </c>
      <c r="J29" s="229" t="s">
        <v>319</v>
      </c>
      <c r="K29" s="230">
        <v>0.26948638448473994</v>
      </c>
      <c r="L29" s="230"/>
      <c r="M29" s="230"/>
      <c r="N29" s="230"/>
      <c r="O29" s="230"/>
      <c r="P29" s="230"/>
      <c r="Q29" s="230"/>
      <c r="R29" s="136"/>
      <c r="Z29" s="198">
        <v>401.95</v>
      </c>
      <c r="AA29" s="196">
        <v>0.0098</v>
      </c>
      <c r="AC29" s="190">
        <v>336.25</v>
      </c>
      <c r="AD29" s="189">
        <v>-0.0069</v>
      </c>
      <c r="AF29" s="197">
        <v>97.09</v>
      </c>
      <c r="AG29" s="196">
        <v>0.0314</v>
      </c>
      <c r="AI29" s="199">
        <v>1900.9</v>
      </c>
      <c r="AJ29" s="196">
        <v>0.0382</v>
      </c>
    </row>
    <row r="30" ht="15.75" customHeight="1">
      <c r="A30" s="177"/>
      <c r="B30" s="178">
        <v>45390.0</v>
      </c>
      <c r="C30" s="188">
        <v>24367.5</v>
      </c>
      <c r="D30" s="189">
        <v>-0.0142</v>
      </c>
      <c r="F30" s="190">
        <v>417.75</v>
      </c>
      <c r="G30" s="189">
        <v>-0.0925</v>
      </c>
      <c r="J30" s="229" t="s">
        <v>320</v>
      </c>
      <c r="K30" s="230">
        <v>0.04159095417723361</v>
      </c>
      <c r="L30" s="230"/>
      <c r="M30" s="230"/>
      <c r="N30" s="230"/>
      <c r="O30" s="230"/>
      <c r="P30" s="230"/>
      <c r="Q30" s="230"/>
      <c r="R30" s="136"/>
      <c r="Z30" s="198">
        <v>398.05</v>
      </c>
      <c r="AA30" s="196">
        <v>-0.0307</v>
      </c>
      <c r="AC30" s="190">
        <v>338.6</v>
      </c>
      <c r="AD30" s="189">
        <v>-0.0214</v>
      </c>
      <c r="AF30" s="197">
        <v>94.13</v>
      </c>
      <c r="AG30" s="196">
        <v>-0.0372</v>
      </c>
      <c r="AI30" s="199">
        <v>1831.0</v>
      </c>
      <c r="AJ30" s="196">
        <v>0.0282</v>
      </c>
    </row>
    <row r="31" ht="15.75" customHeight="1">
      <c r="A31" s="177"/>
      <c r="B31" s="178" t="s">
        <v>321</v>
      </c>
      <c r="C31" s="188">
        <v>24717.7</v>
      </c>
      <c r="D31" s="189">
        <v>-0.0047</v>
      </c>
      <c r="F31" s="190">
        <v>460.35</v>
      </c>
      <c r="G31" s="189">
        <v>0.0352</v>
      </c>
      <c r="J31" s="234" t="s">
        <v>322</v>
      </c>
      <c r="K31" s="235">
        <v>208.0</v>
      </c>
      <c r="L31" s="230"/>
      <c r="M31" s="230"/>
      <c r="N31" s="230"/>
      <c r="O31" s="230"/>
      <c r="P31" s="230"/>
      <c r="Q31" s="230"/>
      <c r="R31" s="136"/>
      <c r="Z31" s="198">
        <v>410.65</v>
      </c>
      <c r="AA31" s="196">
        <v>-0.0216</v>
      </c>
      <c r="AC31" s="190">
        <v>346.0</v>
      </c>
      <c r="AD31" s="189">
        <v>-0.0342</v>
      </c>
      <c r="AF31" s="197">
        <v>97.77</v>
      </c>
      <c r="AG31" s="196">
        <v>-0.0536</v>
      </c>
      <c r="AI31" s="199">
        <v>1780.85</v>
      </c>
      <c r="AJ31" s="196">
        <v>-0.0534</v>
      </c>
    </row>
    <row r="32" ht="15.75" customHeight="1">
      <c r="A32" s="177"/>
      <c r="B32" s="178" t="s">
        <v>323</v>
      </c>
      <c r="C32" s="188">
        <v>24834.85</v>
      </c>
      <c r="D32" s="189">
        <v>0.0124</v>
      </c>
      <c r="F32" s="190">
        <v>444.7</v>
      </c>
      <c r="G32" s="189">
        <v>0.0738</v>
      </c>
      <c r="J32" s="229"/>
      <c r="K32" s="230"/>
      <c r="L32" s="230"/>
      <c r="M32" s="230"/>
      <c r="N32" s="230"/>
      <c r="O32" s="230"/>
      <c r="P32" s="230"/>
      <c r="Q32" s="230"/>
      <c r="R32" s="136"/>
      <c r="Z32" s="198">
        <v>419.7</v>
      </c>
      <c r="AA32" s="196">
        <v>0.059</v>
      </c>
      <c r="AC32" s="190">
        <v>358.25</v>
      </c>
      <c r="AD32" s="189">
        <v>0.0408</v>
      </c>
      <c r="AF32" s="197">
        <v>103.31</v>
      </c>
      <c r="AG32" s="196">
        <v>-0.0125</v>
      </c>
      <c r="AI32" s="199">
        <v>1881.4</v>
      </c>
      <c r="AJ32" s="196">
        <v>0.0431</v>
      </c>
    </row>
    <row r="33" ht="15.75" customHeight="1">
      <c r="A33" s="177"/>
      <c r="B33" s="178" t="s">
        <v>324</v>
      </c>
      <c r="C33" s="188">
        <v>24530.9</v>
      </c>
      <c r="D33" s="189">
        <v>0.0012</v>
      </c>
      <c r="F33" s="190">
        <v>414.15</v>
      </c>
      <c r="G33" s="189">
        <v>-0.0458</v>
      </c>
      <c r="J33" s="229" t="s">
        <v>325</v>
      </c>
      <c r="K33" s="230"/>
      <c r="L33" s="230"/>
      <c r="M33" s="230"/>
      <c r="N33" s="230"/>
      <c r="O33" s="230"/>
      <c r="P33" s="230"/>
      <c r="Q33" s="230"/>
      <c r="R33" s="136"/>
      <c r="Z33" s="198">
        <v>396.3</v>
      </c>
      <c r="AA33" s="196">
        <v>0.0868</v>
      </c>
      <c r="AC33" s="190">
        <v>344.2</v>
      </c>
      <c r="AD33" s="189">
        <v>0.0361</v>
      </c>
      <c r="AF33" s="197">
        <v>104.62</v>
      </c>
      <c r="AG33" s="196">
        <v>-0.0155</v>
      </c>
      <c r="AI33" s="199">
        <v>1803.7</v>
      </c>
      <c r="AJ33" s="196">
        <v>0.0467</v>
      </c>
    </row>
    <row r="34" ht="15.75" customHeight="1">
      <c r="A34" s="177"/>
      <c r="B34" s="178">
        <v>45480.0</v>
      </c>
      <c r="C34" s="188">
        <v>24502.15</v>
      </c>
      <c r="D34" s="189">
        <v>0.0073</v>
      </c>
      <c r="F34" s="190">
        <v>434.05</v>
      </c>
      <c r="G34" s="189">
        <v>-0.0134</v>
      </c>
      <c r="J34" s="231"/>
      <c r="K34" s="236" t="s">
        <v>326</v>
      </c>
      <c r="L34" s="236" t="s">
        <v>327</v>
      </c>
      <c r="M34" s="236" t="s">
        <v>328</v>
      </c>
      <c r="N34" s="236" t="s">
        <v>329</v>
      </c>
      <c r="O34" s="236" t="s">
        <v>330</v>
      </c>
      <c r="P34" s="230"/>
      <c r="Q34" s="230"/>
      <c r="R34" s="136"/>
      <c r="Z34" s="198">
        <v>364.65</v>
      </c>
      <c r="AA34" s="196">
        <v>-0.0331</v>
      </c>
      <c r="AC34" s="190">
        <v>332.2</v>
      </c>
      <c r="AD34" s="189">
        <v>-0.0318</v>
      </c>
      <c r="AF34" s="197">
        <v>106.27</v>
      </c>
      <c r="AG34" s="196">
        <v>-0.0597</v>
      </c>
      <c r="AI34" s="199">
        <v>1723.3</v>
      </c>
      <c r="AJ34" s="196">
        <v>-0.0069</v>
      </c>
    </row>
    <row r="35" ht="15.75" customHeight="1">
      <c r="A35" s="177"/>
      <c r="B35" s="178" t="s">
        <v>331</v>
      </c>
      <c r="C35" s="188">
        <v>24323.85</v>
      </c>
      <c r="D35" s="189">
        <v>0.013</v>
      </c>
      <c r="F35" s="190">
        <v>439.95</v>
      </c>
      <c r="G35" s="189">
        <v>-0.0015</v>
      </c>
      <c r="J35" s="229" t="s">
        <v>332</v>
      </c>
      <c r="K35" s="230">
        <v>1.0</v>
      </c>
      <c r="L35" s="230">
        <v>0.13382184111690681</v>
      </c>
      <c r="M35" s="230">
        <v>0.13382184111690681</v>
      </c>
      <c r="N35" s="230">
        <v>77.36227498510722</v>
      </c>
      <c r="O35" s="230">
        <v>5.729100514617359E-16</v>
      </c>
      <c r="P35" s="230"/>
      <c r="Q35" s="230"/>
      <c r="R35" s="136"/>
      <c r="Z35" s="198">
        <v>377.15</v>
      </c>
      <c r="AA35" s="196">
        <v>-0.007</v>
      </c>
      <c r="AC35" s="190">
        <v>343.1</v>
      </c>
      <c r="AD35" s="189">
        <v>0.0109</v>
      </c>
      <c r="AF35" s="197">
        <v>113.02</v>
      </c>
      <c r="AG35" s="196">
        <v>0.0886</v>
      </c>
      <c r="AI35" s="199">
        <v>1735.25</v>
      </c>
      <c r="AJ35" s="196">
        <v>-0.0109</v>
      </c>
    </row>
    <row r="36" ht="15.75" customHeight="1">
      <c r="A36" s="177"/>
      <c r="B36" s="178" t="s">
        <v>333</v>
      </c>
      <c r="C36" s="188">
        <v>24010.6</v>
      </c>
      <c r="D36" s="189">
        <v>0.0217</v>
      </c>
      <c r="F36" s="190">
        <v>440.6</v>
      </c>
      <c r="G36" s="189">
        <v>0.0043</v>
      </c>
      <c r="J36" s="229" t="s">
        <v>334</v>
      </c>
      <c r="K36" s="230">
        <v>206.0</v>
      </c>
      <c r="L36" s="230">
        <v>0.3563403386907857</v>
      </c>
      <c r="M36" s="230">
        <v>0.001729807469372746</v>
      </c>
      <c r="N36" s="230"/>
      <c r="O36" s="230"/>
      <c r="P36" s="230"/>
      <c r="Q36" s="230"/>
      <c r="R36" s="136"/>
      <c r="Z36" s="198">
        <v>379.8</v>
      </c>
      <c r="AA36" s="196">
        <v>0.0038</v>
      </c>
      <c r="AC36" s="190">
        <v>339.4</v>
      </c>
      <c r="AD36" s="189">
        <v>0.0255</v>
      </c>
      <c r="AF36" s="197">
        <v>103.82</v>
      </c>
      <c r="AG36" s="196">
        <v>0.031</v>
      </c>
      <c r="AI36" s="199">
        <v>1754.3</v>
      </c>
      <c r="AJ36" s="196">
        <v>-0.0193</v>
      </c>
    </row>
    <row r="37" ht="15.75" customHeight="1">
      <c r="A37" s="177"/>
      <c r="B37" s="178" t="s">
        <v>335</v>
      </c>
      <c r="C37" s="188">
        <v>23501.1</v>
      </c>
      <c r="D37" s="189">
        <v>0.0015</v>
      </c>
      <c r="F37" s="190">
        <v>438.7</v>
      </c>
      <c r="G37" s="189">
        <v>-0.0222</v>
      </c>
      <c r="J37" s="234" t="s">
        <v>336</v>
      </c>
      <c r="K37" s="235">
        <v>207.0</v>
      </c>
      <c r="L37" s="235">
        <v>0.4901621798076925</v>
      </c>
      <c r="M37" s="235"/>
      <c r="N37" s="235"/>
      <c r="O37" s="235"/>
      <c r="P37" s="230"/>
      <c r="Q37" s="230"/>
      <c r="R37" s="136"/>
      <c r="Z37" s="198">
        <v>378.35</v>
      </c>
      <c r="AA37" s="196">
        <v>0.0516</v>
      </c>
      <c r="AC37" s="190">
        <v>330.95</v>
      </c>
      <c r="AD37" s="189">
        <v>0.0153</v>
      </c>
      <c r="AF37" s="197">
        <v>100.7</v>
      </c>
      <c r="AG37" s="196">
        <v>-6.0E-4</v>
      </c>
      <c r="AI37" s="199">
        <v>1788.8</v>
      </c>
      <c r="AJ37" s="196">
        <v>0.0047</v>
      </c>
    </row>
    <row r="38" ht="15.75" customHeight="1">
      <c r="A38" s="177"/>
      <c r="B38" s="178">
        <v>45541.0</v>
      </c>
      <c r="C38" s="188">
        <v>23465.6</v>
      </c>
      <c r="D38" s="189">
        <v>0.0075</v>
      </c>
      <c r="F38" s="190">
        <v>448.65</v>
      </c>
      <c r="G38" s="189">
        <v>0.0115</v>
      </c>
      <c r="J38" s="229"/>
      <c r="K38" s="230"/>
      <c r="L38" s="230"/>
      <c r="M38" s="230"/>
      <c r="N38" s="230"/>
      <c r="O38" s="230"/>
      <c r="P38" s="230"/>
      <c r="Q38" s="230"/>
      <c r="R38" s="136"/>
      <c r="Z38" s="198">
        <v>359.8</v>
      </c>
      <c r="AA38" s="196">
        <v>-0.0235</v>
      </c>
      <c r="AC38" s="190">
        <v>325.95</v>
      </c>
      <c r="AD38" s="189">
        <v>0.0138</v>
      </c>
      <c r="AF38" s="197">
        <v>100.76</v>
      </c>
      <c r="AG38" s="196">
        <v>-0.0178</v>
      </c>
      <c r="AI38" s="199">
        <v>1780.45</v>
      </c>
      <c r="AJ38" s="196">
        <v>-0.0143</v>
      </c>
    </row>
    <row r="39" ht="15.75" customHeight="1">
      <c r="A39" s="177"/>
      <c r="B39" s="178">
        <v>45328.0</v>
      </c>
      <c r="C39" s="188">
        <v>23290.15</v>
      </c>
      <c r="D39" s="189">
        <v>0.0337</v>
      </c>
      <c r="F39" s="190">
        <v>443.55</v>
      </c>
      <c r="G39" s="189">
        <v>0.0156</v>
      </c>
      <c r="J39" s="229"/>
      <c r="K39" s="230" t="s">
        <v>337</v>
      </c>
      <c r="L39" s="230" t="s">
        <v>320</v>
      </c>
      <c r="M39" s="230" t="s">
        <v>338</v>
      </c>
      <c r="N39" s="230" t="s">
        <v>339</v>
      </c>
      <c r="O39" s="230" t="s">
        <v>340</v>
      </c>
      <c r="P39" s="230" t="s">
        <v>341</v>
      </c>
      <c r="Q39" s="230" t="s">
        <v>342</v>
      </c>
      <c r="R39" s="136" t="s">
        <v>343</v>
      </c>
      <c r="Z39" s="198">
        <v>368.45</v>
      </c>
      <c r="AA39" s="196">
        <v>0.0218</v>
      </c>
      <c r="AC39" s="190">
        <v>321.5</v>
      </c>
      <c r="AD39" s="189">
        <v>0.0393</v>
      </c>
      <c r="AF39" s="197">
        <v>102.59</v>
      </c>
      <c r="AG39" s="196">
        <v>-0.0059</v>
      </c>
      <c r="AI39" s="199">
        <v>1806.3</v>
      </c>
      <c r="AJ39" s="196">
        <v>-0.0311</v>
      </c>
    </row>
    <row r="40" ht="15.75" customHeight="1">
      <c r="A40" s="177"/>
      <c r="B40" s="178" t="s">
        <v>344</v>
      </c>
      <c r="C40" s="188">
        <v>22530.7</v>
      </c>
      <c r="D40" s="189">
        <v>-0.0186</v>
      </c>
      <c r="F40" s="190">
        <v>436.75</v>
      </c>
      <c r="G40" s="189">
        <v>-0.0234</v>
      </c>
      <c r="J40" s="229" t="s">
        <v>345</v>
      </c>
      <c r="K40" s="230">
        <v>0.004736585981759093</v>
      </c>
      <c r="L40" s="230">
        <v>0.0029079620708823257</v>
      </c>
      <c r="M40" s="230">
        <v>1.6288334807344758</v>
      </c>
      <c r="N40" s="230">
        <v>0.10487656304826146</v>
      </c>
      <c r="O40" s="230">
        <v>-9.96596953962E-4</v>
      </c>
      <c r="P40" s="230">
        <v>0.010469768917480186</v>
      </c>
      <c r="Q40" s="230">
        <v>-9.96596953962E-4</v>
      </c>
      <c r="R40" s="136">
        <v>0.010469768917480186</v>
      </c>
      <c r="Z40" s="198">
        <v>360.6</v>
      </c>
      <c r="AA40" s="196">
        <v>0.0045</v>
      </c>
      <c r="AC40" s="190">
        <v>309.35</v>
      </c>
      <c r="AD40" s="189">
        <v>-0.0021</v>
      </c>
      <c r="AF40" s="197">
        <v>103.2</v>
      </c>
      <c r="AG40" s="196">
        <v>-0.0378</v>
      </c>
      <c r="AI40" s="199">
        <v>1864.25</v>
      </c>
      <c r="AJ40" s="196">
        <v>-0.0231</v>
      </c>
    </row>
    <row r="41" ht="15.75" customHeight="1">
      <c r="A41" s="177"/>
      <c r="B41" s="178" t="s">
        <v>346</v>
      </c>
      <c r="C41" s="188">
        <v>22957.1</v>
      </c>
      <c r="D41" s="189">
        <v>0.0219</v>
      </c>
      <c r="F41" s="190">
        <v>447.2</v>
      </c>
      <c r="G41" s="189">
        <v>0.025</v>
      </c>
      <c r="J41" s="237" t="s">
        <v>276</v>
      </c>
      <c r="K41" s="238">
        <v>1.4005938910831268</v>
      </c>
      <c r="L41" s="235">
        <v>0.1592383289753493</v>
      </c>
      <c r="M41" s="235">
        <v>8.795582697303637</v>
      </c>
      <c r="N41" s="235">
        <v>5.729100514617689E-16</v>
      </c>
      <c r="O41" s="235">
        <v>1.0866480939437535</v>
      </c>
      <c r="P41" s="235">
        <v>1.7145396882225001</v>
      </c>
      <c r="Q41" s="235">
        <v>1.0866480939437535</v>
      </c>
      <c r="R41" s="239">
        <v>1.7145396882225001</v>
      </c>
      <c r="Z41" s="198">
        <v>359.0</v>
      </c>
      <c r="AA41" s="196">
        <v>-0.0425</v>
      </c>
      <c r="AC41" s="190">
        <v>310.0</v>
      </c>
      <c r="AD41" s="189">
        <v>-0.0276</v>
      </c>
      <c r="AF41" s="197">
        <v>107.25</v>
      </c>
      <c r="AG41" s="196">
        <v>0.0469</v>
      </c>
      <c r="AI41" s="199">
        <v>1908.35</v>
      </c>
      <c r="AJ41" s="196">
        <v>-0.0095</v>
      </c>
    </row>
    <row r="42" ht="15.75" customHeight="1">
      <c r="A42" s="177"/>
      <c r="B42" s="178">
        <v>45631.0</v>
      </c>
      <c r="C42" s="188">
        <v>22466.1</v>
      </c>
      <c r="D42" s="189">
        <v>0.0186</v>
      </c>
      <c r="F42" s="190">
        <v>436.3</v>
      </c>
      <c r="G42" s="189">
        <v>0.0517</v>
      </c>
      <c r="Z42" s="198">
        <v>374.95</v>
      </c>
      <c r="AA42" s="196">
        <v>0.026</v>
      </c>
      <c r="AC42" s="190">
        <v>318.8</v>
      </c>
      <c r="AD42" s="189">
        <v>0.018</v>
      </c>
      <c r="AF42" s="197">
        <v>102.45</v>
      </c>
      <c r="AG42" s="196">
        <v>0.0322</v>
      </c>
      <c r="AI42" s="199">
        <v>1926.65</v>
      </c>
      <c r="AJ42" s="196">
        <v>0.0511</v>
      </c>
    </row>
    <row r="43" ht="15.75" customHeight="1">
      <c r="A43" s="177"/>
      <c r="B43" s="178">
        <v>45417.0</v>
      </c>
      <c r="C43" s="188">
        <v>22055.2</v>
      </c>
      <c r="D43" s="189">
        <v>-0.0187</v>
      </c>
      <c r="F43" s="190">
        <v>414.85</v>
      </c>
      <c r="G43" s="189">
        <v>-0.0877</v>
      </c>
      <c r="Z43" s="198">
        <v>365.45</v>
      </c>
      <c r="AA43" s="196">
        <v>0.028</v>
      </c>
      <c r="AC43" s="190">
        <v>313.15</v>
      </c>
      <c r="AD43" s="189">
        <v>0.0309</v>
      </c>
      <c r="AF43" s="197">
        <v>99.25</v>
      </c>
      <c r="AG43" s="196">
        <v>0.0503</v>
      </c>
      <c r="AI43" s="199">
        <v>1833.0</v>
      </c>
      <c r="AJ43" s="196">
        <v>0.069</v>
      </c>
    </row>
    <row r="44" ht="15.75" customHeight="1">
      <c r="A44" s="177"/>
      <c r="B44" s="178" t="s">
        <v>347</v>
      </c>
      <c r="C44" s="188">
        <v>22475.85</v>
      </c>
      <c r="D44" s="189">
        <v>0.0025</v>
      </c>
      <c r="F44" s="190">
        <v>454.75</v>
      </c>
      <c r="G44" s="189">
        <v>0.0409</v>
      </c>
      <c r="Z44" s="198">
        <v>355.5</v>
      </c>
      <c r="AA44" s="196">
        <v>-0.0259</v>
      </c>
      <c r="AC44" s="190">
        <v>303.75</v>
      </c>
      <c r="AD44" s="189">
        <v>-0.0228</v>
      </c>
      <c r="AF44" s="197">
        <v>94.5</v>
      </c>
      <c r="AG44" s="196">
        <v>-0.0479</v>
      </c>
      <c r="AI44" s="199">
        <v>1714.75</v>
      </c>
      <c r="AJ44" s="196">
        <v>-0.0473</v>
      </c>
    </row>
    <row r="45" ht="15.75" customHeight="1">
      <c r="A45" s="177"/>
      <c r="B45" s="178" t="s">
        <v>348</v>
      </c>
      <c r="C45" s="188">
        <v>22419.95</v>
      </c>
      <c r="D45" s="189">
        <v>0.0123</v>
      </c>
      <c r="F45" s="190">
        <v>436.9</v>
      </c>
      <c r="G45" s="189">
        <v>0.0206</v>
      </c>
      <c r="Z45" s="198">
        <v>364.95</v>
      </c>
      <c r="AA45" s="196">
        <v>0.0251</v>
      </c>
      <c r="AC45" s="190">
        <v>310.85</v>
      </c>
      <c r="AD45" s="189">
        <v>0.0636</v>
      </c>
      <c r="AF45" s="197">
        <v>99.25</v>
      </c>
      <c r="AG45" s="196">
        <v>0.0724</v>
      </c>
      <c r="AI45" s="199">
        <v>1799.8</v>
      </c>
      <c r="AJ45" s="196">
        <v>-0.0038</v>
      </c>
    </row>
    <row r="46" ht="15.75" customHeight="1">
      <c r="A46" s="177"/>
      <c r="B46" s="178" t="s">
        <v>349</v>
      </c>
      <c r="C46" s="188">
        <v>22147.0</v>
      </c>
      <c r="D46" s="189">
        <v>-0.0165</v>
      </c>
      <c r="F46" s="190">
        <v>428.1</v>
      </c>
      <c r="G46" s="189">
        <v>-0.0203</v>
      </c>
      <c r="Z46" s="198">
        <v>356.0</v>
      </c>
      <c r="AA46" s="196">
        <v>0.0155</v>
      </c>
      <c r="AC46" s="190">
        <v>292.25</v>
      </c>
      <c r="AD46" s="189">
        <v>0.0376</v>
      </c>
      <c r="AF46" s="197">
        <v>92.55</v>
      </c>
      <c r="AG46" s="196">
        <v>0.062</v>
      </c>
      <c r="AI46" s="199">
        <v>1806.65</v>
      </c>
      <c r="AJ46" s="196">
        <v>0.0207</v>
      </c>
    </row>
    <row r="47" ht="15.75" customHeight="1">
      <c r="A47" s="177"/>
      <c r="B47" s="178">
        <v>45477.0</v>
      </c>
      <c r="C47" s="188">
        <v>22519.4</v>
      </c>
      <c r="D47" s="189">
        <v>3.0E-4</v>
      </c>
      <c r="F47" s="190">
        <v>436.95</v>
      </c>
      <c r="G47" s="189">
        <v>0.0539</v>
      </c>
      <c r="Z47" s="198">
        <v>350.55</v>
      </c>
      <c r="AA47" s="196">
        <v>-0.031</v>
      </c>
      <c r="AC47" s="190">
        <v>281.65</v>
      </c>
      <c r="AD47" s="189">
        <v>0.0233</v>
      </c>
      <c r="AF47" s="197">
        <v>87.15</v>
      </c>
      <c r="AG47" s="196">
        <v>-0.0553</v>
      </c>
      <c r="AI47" s="199">
        <v>1770.05</v>
      </c>
      <c r="AJ47" s="196">
        <v>-0.0605</v>
      </c>
    </row>
    <row r="48" ht="15.75" customHeight="1">
      <c r="A48" s="177"/>
      <c r="B48" s="178" t="s">
        <v>350</v>
      </c>
      <c r="C48" s="188">
        <v>22513.7</v>
      </c>
      <c r="D48" s="189">
        <v>0.0084</v>
      </c>
      <c r="F48" s="190">
        <v>414.6</v>
      </c>
      <c r="G48" s="189">
        <v>0.0518</v>
      </c>
      <c r="Z48" s="198">
        <v>361.75</v>
      </c>
      <c r="AA48" s="196">
        <v>0.0203</v>
      </c>
      <c r="AC48" s="190">
        <v>275.25</v>
      </c>
      <c r="AD48" s="189">
        <v>-0.0113</v>
      </c>
      <c r="AF48" s="197">
        <v>92.25</v>
      </c>
      <c r="AG48" s="196">
        <v>-0.0181</v>
      </c>
      <c r="AI48" s="199">
        <v>1884.05</v>
      </c>
      <c r="AJ48" s="196">
        <v>-0.0094</v>
      </c>
    </row>
    <row r="49" ht="15.75" customHeight="1">
      <c r="A49" s="177"/>
      <c r="B49" s="178" t="s">
        <v>351</v>
      </c>
      <c r="C49" s="188">
        <v>22326.9</v>
      </c>
      <c r="D49" s="189">
        <v>0.0104</v>
      </c>
      <c r="F49" s="190">
        <v>394.2</v>
      </c>
      <c r="G49" s="189">
        <v>0.009</v>
      </c>
      <c r="Z49" s="198">
        <v>354.55</v>
      </c>
      <c r="AA49" s="196">
        <v>0.0558</v>
      </c>
      <c r="AC49" s="190">
        <v>278.4</v>
      </c>
      <c r="AD49" s="189">
        <v>0.0054</v>
      </c>
      <c r="AF49" s="197">
        <v>93.95</v>
      </c>
      <c r="AG49" s="196">
        <v>0.0474</v>
      </c>
      <c r="AI49" s="199">
        <v>1901.95</v>
      </c>
      <c r="AJ49" s="196">
        <v>0.0364</v>
      </c>
    </row>
    <row r="50" ht="15.75" customHeight="1">
      <c r="A50" s="177"/>
      <c r="B50" s="178" t="s">
        <v>352</v>
      </c>
      <c r="C50" s="188">
        <v>22096.75</v>
      </c>
      <c r="D50" s="189">
        <v>0.0033</v>
      </c>
      <c r="F50" s="190">
        <v>390.7</v>
      </c>
      <c r="G50" s="189">
        <v>0.0261</v>
      </c>
      <c r="Z50" s="198">
        <v>335.8</v>
      </c>
      <c r="AA50" s="196">
        <v>0.034</v>
      </c>
      <c r="AC50" s="190">
        <v>276.9</v>
      </c>
      <c r="AD50" s="189">
        <v>0.0042</v>
      </c>
      <c r="AF50" s="197">
        <v>89.7</v>
      </c>
      <c r="AG50" s="196">
        <v>0.0547</v>
      </c>
      <c r="AI50" s="199">
        <v>1835.15</v>
      </c>
      <c r="AJ50" s="196">
        <v>-0.009</v>
      </c>
    </row>
    <row r="51" ht="15.75" customHeight="1">
      <c r="A51" s="177"/>
      <c r="B51" s="178">
        <v>45568.0</v>
      </c>
      <c r="C51" s="188">
        <v>22023.35</v>
      </c>
      <c r="D51" s="189">
        <v>-0.0209</v>
      </c>
      <c r="F51" s="190">
        <v>380.75</v>
      </c>
      <c r="G51" s="189">
        <v>-0.1046</v>
      </c>
      <c r="Z51" s="198">
        <v>324.75</v>
      </c>
      <c r="AA51" s="196">
        <v>0.0267</v>
      </c>
      <c r="AC51" s="190">
        <v>275.75</v>
      </c>
      <c r="AD51" s="189">
        <v>0.0368</v>
      </c>
      <c r="AF51" s="197">
        <v>85.05</v>
      </c>
      <c r="AG51" s="196">
        <v>0.0253</v>
      </c>
      <c r="AI51" s="199">
        <v>1851.75</v>
      </c>
      <c r="AJ51" s="196">
        <v>-0.0267</v>
      </c>
    </row>
    <row r="52" ht="15.75" customHeight="1">
      <c r="A52" s="177"/>
      <c r="B52" s="178">
        <v>45354.0</v>
      </c>
      <c r="C52" s="188">
        <v>22493.55</v>
      </c>
      <c r="D52" s="189">
        <v>0.0069</v>
      </c>
      <c r="F52" s="190">
        <v>425.25</v>
      </c>
      <c r="G52" s="189">
        <v>0.1268</v>
      </c>
      <c r="Z52" s="198">
        <v>316.3</v>
      </c>
      <c r="AA52" s="196">
        <v>-0.1019</v>
      </c>
      <c r="AC52" s="190">
        <v>265.95</v>
      </c>
      <c r="AD52" s="189">
        <v>-0.0912</v>
      </c>
      <c r="AF52" s="197">
        <v>82.95</v>
      </c>
      <c r="AG52" s="196">
        <v>-0.0788</v>
      </c>
      <c r="AI52" s="199">
        <v>1902.6</v>
      </c>
      <c r="AJ52" s="196">
        <v>-0.0137</v>
      </c>
    </row>
    <row r="53" ht="15.75" customHeight="1">
      <c r="A53" s="177"/>
      <c r="B53" s="178" t="s">
        <v>353</v>
      </c>
      <c r="C53" s="188">
        <v>22338.75</v>
      </c>
      <c r="D53" s="189">
        <v>0.0057</v>
      </c>
      <c r="F53" s="190">
        <v>377.4</v>
      </c>
      <c r="G53" s="189">
        <v>-0.0026</v>
      </c>
      <c r="Z53" s="198">
        <v>352.2</v>
      </c>
      <c r="AA53" s="196">
        <v>0.0253</v>
      </c>
      <c r="AC53" s="190">
        <v>292.65</v>
      </c>
      <c r="AD53" s="189">
        <v>0.0172</v>
      </c>
      <c r="AF53" s="197">
        <v>90.05</v>
      </c>
      <c r="AG53" s="196">
        <v>0.0022</v>
      </c>
      <c r="AI53" s="199">
        <v>1929.1</v>
      </c>
      <c r="AJ53" s="196">
        <v>-0.0205</v>
      </c>
    </row>
    <row r="54" ht="15.75" customHeight="1">
      <c r="A54" s="177"/>
      <c r="B54" s="178" t="s">
        <v>354</v>
      </c>
      <c r="C54" s="188">
        <v>22212.7</v>
      </c>
      <c r="D54" s="189">
        <v>0.0078</v>
      </c>
      <c r="F54" s="190">
        <v>378.4</v>
      </c>
      <c r="G54" s="189">
        <v>0.0056</v>
      </c>
      <c r="Z54" s="198">
        <v>343.5</v>
      </c>
      <c r="AA54" s="196">
        <v>0.017</v>
      </c>
      <c r="AC54" s="190">
        <v>287.7</v>
      </c>
      <c r="AD54" s="189">
        <v>0.0204</v>
      </c>
      <c r="AF54" s="197">
        <v>89.85</v>
      </c>
      <c r="AG54" s="196">
        <v>-0.0196</v>
      </c>
      <c r="AI54" s="199">
        <v>1969.55</v>
      </c>
      <c r="AJ54" s="196">
        <v>0.024</v>
      </c>
    </row>
    <row r="55" ht="15.75" customHeight="1">
      <c r="A55" s="177"/>
      <c r="B55" s="178">
        <v>45598.0</v>
      </c>
      <c r="C55" s="188">
        <v>22040.7</v>
      </c>
      <c r="D55" s="189">
        <v>0.0119</v>
      </c>
      <c r="F55" s="190">
        <v>376.3</v>
      </c>
      <c r="G55" s="189">
        <v>-0.0403</v>
      </c>
      <c r="Z55" s="198">
        <v>337.75</v>
      </c>
      <c r="AA55" s="196">
        <v>0.0</v>
      </c>
      <c r="AC55" s="190">
        <v>281.95</v>
      </c>
      <c r="AD55" s="189">
        <v>0.027</v>
      </c>
      <c r="AF55" s="197">
        <v>91.65</v>
      </c>
      <c r="AG55" s="196">
        <v>-0.0129</v>
      </c>
      <c r="AI55" s="199">
        <v>1923.3</v>
      </c>
      <c r="AJ55" s="196">
        <v>0.0097</v>
      </c>
    </row>
    <row r="56" ht="15.75" customHeight="1">
      <c r="A56" s="177"/>
      <c r="B56" s="178">
        <v>45384.0</v>
      </c>
      <c r="C56" s="188">
        <v>21782.5</v>
      </c>
      <c r="D56" s="189">
        <v>-0.0033</v>
      </c>
      <c r="F56" s="190">
        <v>392.1</v>
      </c>
      <c r="G56" s="189">
        <v>0.0059</v>
      </c>
      <c r="Z56" s="198">
        <v>337.75</v>
      </c>
      <c r="AA56" s="196">
        <v>0.0396</v>
      </c>
      <c r="AC56" s="190">
        <v>274.55</v>
      </c>
      <c r="AD56" s="189">
        <v>0.0057</v>
      </c>
      <c r="AF56" s="197">
        <v>92.85</v>
      </c>
      <c r="AG56" s="196">
        <v>-0.0353</v>
      </c>
      <c r="AI56" s="199">
        <v>1904.75</v>
      </c>
      <c r="AJ56" s="196">
        <v>0.0128</v>
      </c>
    </row>
    <row r="57" ht="15.75" customHeight="1">
      <c r="A57" s="177"/>
      <c r="B57" s="178" t="s">
        <v>355</v>
      </c>
      <c r="C57" s="188">
        <v>21853.8</v>
      </c>
      <c r="D57" s="189">
        <v>0.0235</v>
      </c>
      <c r="F57" s="190">
        <v>389.8</v>
      </c>
      <c r="G57" s="189">
        <v>0.0677</v>
      </c>
      <c r="Z57" s="198">
        <v>324.9</v>
      </c>
      <c r="AA57" s="196">
        <v>-0.0229</v>
      </c>
      <c r="AC57" s="190">
        <v>273.0</v>
      </c>
      <c r="AD57" s="189">
        <v>-0.0148</v>
      </c>
      <c r="AF57" s="197">
        <v>96.25</v>
      </c>
      <c r="AG57" s="196">
        <v>-0.0437</v>
      </c>
      <c r="AI57" s="199">
        <v>1880.7</v>
      </c>
      <c r="AJ57" s="196">
        <v>0.1233</v>
      </c>
    </row>
    <row r="58" ht="15.75" customHeight="1">
      <c r="A58" s="177"/>
      <c r="B58" s="178" t="s">
        <v>356</v>
      </c>
      <c r="C58" s="188">
        <v>21352.6</v>
      </c>
      <c r="D58" s="189">
        <v>-0.0125</v>
      </c>
      <c r="F58" s="190">
        <v>365.1</v>
      </c>
      <c r="G58" s="189">
        <v>0.0472</v>
      </c>
      <c r="Z58" s="198">
        <v>332.5</v>
      </c>
      <c r="AA58" s="196">
        <v>0.0564</v>
      </c>
      <c r="AC58" s="190">
        <v>277.1</v>
      </c>
      <c r="AD58" s="189">
        <v>0.1287</v>
      </c>
      <c r="AF58" s="197">
        <v>100.65</v>
      </c>
      <c r="AG58" s="196">
        <v>0.2083</v>
      </c>
      <c r="AI58" s="199">
        <v>1674.25</v>
      </c>
      <c r="AJ58" s="196">
        <v>0.0057</v>
      </c>
    </row>
    <row r="59" ht="15.75" customHeight="1">
      <c r="A59" s="177"/>
      <c r="B59" s="178" t="s">
        <v>357</v>
      </c>
      <c r="C59" s="188">
        <v>21622.4</v>
      </c>
      <c r="D59" s="189">
        <v>-0.0124</v>
      </c>
      <c r="F59" s="190">
        <v>348.65</v>
      </c>
      <c r="G59" s="189">
        <v>-0.0254</v>
      </c>
      <c r="Z59" s="198">
        <v>314.75</v>
      </c>
      <c r="AA59" s="196">
        <v>0.0204</v>
      </c>
      <c r="AC59" s="190">
        <v>245.5</v>
      </c>
      <c r="AD59" s="189">
        <v>0.0429</v>
      </c>
      <c r="AF59" s="197">
        <v>83.3</v>
      </c>
      <c r="AG59" s="196">
        <v>0.1326</v>
      </c>
      <c r="AI59" s="199">
        <v>1664.8</v>
      </c>
      <c r="AJ59" s="196">
        <v>0.0599</v>
      </c>
    </row>
    <row r="60" ht="15.75" customHeight="1">
      <c r="A60" s="177"/>
      <c r="B60" s="178">
        <v>45474.0</v>
      </c>
      <c r="C60" s="188">
        <v>21894.55</v>
      </c>
      <c r="D60" s="189">
        <v>0.0085</v>
      </c>
      <c r="F60" s="190">
        <v>357.75</v>
      </c>
      <c r="G60" s="189">
        <v>0.0499</v>
      </c>
      <c r="Z60" s="198">
        <v>308.45</v>
      </c>
      <c r="AA60" s="196">
        <v>-0.0134</v>
      </c>
      <c r="AC60" s="190">
        <v>235.4</v>
      </c>
      <c r="AD60" s="189">
        <v>-0.0171</v>
      </c>
      <c r="AF60" s="197">
        <v>73.55</v>
      </c>
      <c r="AG60" s="196">
        <v>0.0636</v>
      </c>
      <c r="AI60" s="199">
        <v>1570.75</v>
      </c>
      <c r="AJ60" s="196">
        <v>-0.0818</v>
      </c>
    </row>
    <row r="61" ht="15.75" customHeight="1">
      <c r="A61" s="177"/>
      <c r="B61" s="178" t="s">
        <v>358</v>
      </c>
      <c r="C61" s="188">
        <v>21710.8</v>
      </c>
      <c r="D61" s="189">
        <v>-9.0E-4</v>
      </c>
      <c r="F61" s="190">
        <v>340.75</v>
      </c>
      <c r="G61" s="189">
        <v>0.0259</v>
      </c>
      <c r="Z61" s="198">
        <v>312.65</v>
      </c>
      <c r="AA61" s="196">
        <v>-0.0073</v>
      </c>
      <c r="AC61" s="190">
        <v>239.5</v>
      </c>
      <c r="AD61" s="189">
        <v>-0.0073</v>
      </c>
      <c r="AF61" s="197">
        <v>69.15</v>
      </c>
      <c r="AG61" s="196">
        <v>-0.0389</v>
      </c>
      <c r="AI61" s="199">
        <v>1710.7</v>
      </c>
      <c r="AJ61" s="196">
        <v>0.0219</v>
      </c>
    </row>
    <row r="62" ht="15.75" customHeight="1">
      <c r="A62" s="177"/>
      <c r="B62" s="178" t="s">
        <v>359</v>
      </c>
      <c r="C62" s="188">
        <v>21731.4</v>
      </c>
      <c r="D62" s="189">
        <v>0.0179</v>
      </c>
      <c r="F62" s="190">
        <v>332.15</v>
      </c>
      <c r="G62" s="189">
        <v>0.0168</v>
      </c>
      <c r="Z62" s="198">
        <v>314.95</v>
      </c>
      <c r="AA62" s="196">
        <v>0.0122</v>
      </c>
      <c r="AC62" s="190">
        <v>241.25</v>
      </c>
      <c r="AD62" s="189">
        <v>0.0171</v>
      </c>
      <c r="AF62" s="197">
        <v>71.95</v>
      </c>
      <c r="AG62" s="196">
        <v>0.1138</v>
      </c>
      <c r="AI62" s="199">
        <v>1674.0</v>
      </c>
      <c r="AJ62" s="196">
        <v>0.0482</v>
      </c>
    </row>
    <row r="63" ht="15.75" customHeight="1">
      <c r="A63" s="177"/>
      <c r="B63" s="178" t="s">
        <v>360</v>
      </c>
      <c r="C63" s="188">
        <v>21349.4</v>
      </c>
      <c r="D63" s="189">
        <v>-0.005</v>
      </c>
      <c r="F63" s="190">
        <v>326.65</v>
      </c>
      <c r="G63" s="189">
        <v>-0.0197</v>
      </c>
      <c r="Z63" s="198">
        <v>311.15</v>
      </c>
      <c r="AA63" s="196">
        <v>0.0276</v>
      </c>
      <c r="AC63" s="190">
        <v>237.2</v>
      </c>
      <c r="AD63" s="189">
        <v>0.0235</v>
      </c>
      <c r="AF63" s="197">
        <v>64.6</v>
      </c>
      <c r="AG63" s="196">
        <v>-0.0015</v>
      </c>
      <c r="AI63" s="199">
        <v>1597.0</v>
      </c>
      <c r="AJ63" s="196">
        <v>0.0417</v>
      </c>
    </row>
    <row r="64" ht="15.75" customHeight="1">
      <c r="A64" s="177"/>
      <c r="B64" s="178">
        <v>45211.0</v>
      </c>
      <c r="C64" s="188">
        <v>21456.65</v>
      </c>
      <c r="D64" s="189">
        <v>0.0232</v>
      </c>
      <c r="F64" s="190">
        <v>333.2</v>
      </c>
      <c r="G64" s="189">
        <v>0.0298</v>
      </c>
      <c r="Z64" s="198">
        <v>302.8</v>
      </c>
      <c r="AA64" s="196">
        <v>-0.0075</v>
      </c>
      <c r="AC64" s="190">
        <v>231.75</v>
      </c>
      <c r="AD64" s="189">
        <v>-0.0236</v>
      </c>
      <c r="AF64" s="197">
        <v>64.7</v>
      </c>
      <c r="AG64" s="196">
        <v>-0.0054</v>
      </c>
      <c r="AI64" s="199">
        <v>1533.1</v>
      </c>
      <c r="AJ64" s="196">
        <v>0.0042</v>
      </c>
    </row>
    <row r="65" ht="15.75" customHeight="1">
      <c r="A65" s="177"/>
      <c r="B65" s="178">
        <v>44997.0</v>
      </c>
      <c r="C65" s="188">
        <v>20969.4</v>
      </c>
      <c r="D65" s="189">
        <v>0.0346</v>
      </c>
      <c r="F65" s="190">
        <v>323.55</v>
      </c>
      <c r="G65" s="189">
        <v>0.1723</v>
      </c>
      <c r="Z65" s="198">
        <v>305.1</v>
      </c>
      <c r="AA65" s="196">
        <v>0.0703</v>
      </c>
      <c r="AC65" s="190">
        <v>237.35</v>
      </c>
      <c r="AD65" s="189">
        <v>0.0383</v>
      </c>
      <c r="AF65" s="197">
        <v>65.05</v>
      </c>
      <c r="AG65" s="196">
        <v>0.0293</v>
      </c>
      <c r="AI65" s="199">
        <v>1526.65</v>
      </c>
      <c r="AJ65" s="196">
        <v>-0.0153</v>
      </c>
    </row>
    <row r="66" ht="15.75" customHeight="1">
      <c r="A66" s="177"/>
      <c r="B66" s="178" t="s">
        <v>361</v>
      </c>
      <c r="C66" s="188">
        <v>20267.9</v>
      </c>
      <c r="D66" s="189">
        <v>0.0239</v>
      </c>
      <c r="F66" s="190">
        <v>276.0</v>
      </c>
      <c r="G66" s="189">
        <v>0.0691</v>
      </c>
      <c r="Z66" s="198">
        <v>285.05</v>
      </c>
      <c r="AA66" s="196">
        <v>0.0599</v>
      </c>
      <c r="AC66" s="190">
        <v>228.6</v>
      </c>
      <c r="AD66" s="189">
        <v>0.0875</v>
      </c>
      <c r="AF66" s="197">
        <v>63.2</v>
      </c>
      <c r="AG66" s="196">
        <v>0.1206</v>
      </c>
      <c r="AI66" s="199">
        <v>1550.3</v>
      </c>
      <c r="AJ66" s="196">
        <v>0.5103</v>
      </c>
    </row>
    <row r="67" ht="15.75" customHeight="1">
      <c r="A67" s="177"/>
      <c r="B67" s="178" t="s">
        <v>362</v>
      </c>
      <c r="C67" s="188">
        <v>19794.7</v>
      </c>
      <c r="D67" s="189">
        <v>0.0032</v>
      </c>
      <c r="F67" s="190">
        <v>258.15</v>
      </c>
      <c r="G67" s="189">
        <v>-0.0171</v>
      </c>
      <c r="Z67" s="198">
        <v>268.95</v>
      </c>
      <c r="AA67" s="196">
        <v>0.0593</v>
      </c>
      <c r="AC67" s="190">
        <v>210.2</v>
      </c>
      <c r="AD67" s="189">
        <v>-0.0012</v>
      </c>
      <c r="AF67" s="197">
        <v>56.4</v>
      </c>
      <c r="AG67" s="196">
        <v>0.0311</v>
      </c>
      <c r="AI67" s="199">
        <v>1026.5</v>
      </c>
      <c r="AJ67" s="196">
        <v>0.0945</v>
      </c>
    </row>
    <row r="68" ht="15.75" customHeight="1">
      <c r="A68" s="177"/>
      <c r="B68" s="178">
        <v>45271.0</v>
      </c>
      <c r="C68" s="188">
        <v>19731.8</v>
      </c>
      <c r="D68" s="189">
        <v>0.0158</v>
      </c>
      <c r="F68" s="190">
        <v>262.65</v>
      </c>
      <c r="G68" s="189">
        <v>0.0447</v>
      </c>
      <c r="Z68" s="198">
        <v>253.9</v>
      </c>
      <c r="AA68" s="196">
        <v>0.0091</v>
      </c>
      <c r="AC68" s="190">
        <v>210.45</v>
      </c>
      <c r="AD68" s="189">
        <v>0.0045</v>
      </c>
      <c r="AF68" s="197">
        <v>54.7</v>
      </c>
      <c r="AG68" s="196">
        <v>0.038</v>
      </c>
      <c r="AI68" s="197">
        <v>937.9</v>
      </c>
      <c r="AJ68" s="196">
        <v>0.0019</v>
      </c>
    </row>
    <row r="69" ht="15.75" customHeight="1">
      <c r="A69" s="177"/>
      <c r="B69" s="178">
        <v>45057.0</v>
      </c>
      <c r="C69" s="188">
        <v>19425.35</v>
      </c>
      <c r="D69" s="189">
        <v>0.0101</v>
      </c>
      <c r="F69" s="190">
        <v>251.4</v>
      </c>
      <c r="G69" s="189">
        <v>0.0278</v>
      </c>
      <c r="Z69" s="198">
        <v>251.6</v>
      </c>
      <c r="AA69" s="196">
        <v>0.0365</v>
      </c>
      <c r="AC69" s="190">
        <v>209.5</v>
      </c>
      <c r="AD69" s="189">
        <v>-0.0078</v>
      </c>
      <c r="AF69" s="197">
        <v>52.7</v>
      </c>
      <c r="AG69" s="196">
        <v>0.0213</v>
      </c>
      <c r="AI69" s="197">
        <v>936.1</v>
      </c>
      <c r="AJ69" s="196">
        <v>-0.0028</v>
      </c>
    </row>
    <row r="70" ht="15.75" customHeight="1">
      <c r="A70" s="177"/>
      <c r="B70" s="178" t="s">
        <v>363</v>
      </c>
      <c r="C70" s="188">
        <v>19230.6</v>
      </c>
      <c r="D70" s="189">
        <v>0.0096</v>
      </c>
      <c r="F70" s="190">
        <v>244.6</v>
      </c>
      <c r="G70" s="189">
        <v>0.0271</v>
      </c>
      <c r="Z70" s="198">
        <v>242.75</v>
      </c>
      <c r="AA70" s="196">
        <v>0.0358</v>
      </c>
      <c r="AC70" s="190">
        <v>211.15</v>
      </c>
      <c r="AD70" s="189">
        <v>0.033</v>
      </c>
      <c r="AF70" s="197">
        <v>51.6</v>
      </c>
      <c r="AG70" s="196">
        <v>0.0289</v>
      </c>
      <c r="AI70" s="197">
        <v>938.7</v>
      </c>
      <c r="AJ70" s="196">
        <v>0.0399</v>
      </c>
    </row>
    <row r="71" ht="15.75" customHeight="1">
      <c r="A71" s="177"/>
      <c r="B71" s="178" t="s">
        <v>364</v>
      </c>
      <c r="C71" s="188">
        <v>19047.25</v>
      </c>
      <c r="D71" s="189">
        <v>-0.0253</v>
      </c>
      <c r="F71" s="190">
        <v>238.15</v>
      </c>
      <c r="G71" s="189">
        <v>-0.0374</v>
      </c>
      <c r="Z71" s="198">
        <v>234.35</v>
      </c>
      <c r="AA71" s="196">
        <v>-0.0095</v>
      </c>
      <c r="AC71" s="190">
        <v>204.4</v>
      </c>
      <c r="AD71" s="189">
        <v>0.0172</v>
      </c>
      <c r="AF71" s="197">
        <v>50.15</v>
      </c>
      <c r="AG71" s="196">
        <v>-0.0099</v>
      </c>
      <c r="AI71" s="197">
        <v>902.7</v>
      </c>
      <c r="AJ71" s="196">
        <v>0.0365</v>
      </c>
    </row>
    <row r="72" ht="15.75" customHeight="1">
      <c r="A72" s="177"/>
      <c r="B72" s="178" t="s">
        <v>365</v>
      </c>
      <c r="C72" s="188">
        <v>19542.65</v>
      </c>
      <c r="D72" s="189">
        <v>-0.0106</v>
      </c>
      <c r="F72" s="190">
        <v>247.4</v>
      </c>
      <c r="G72" s="189">
        <v>-0.0264</v>
      </c>
      <c r="Z72" s="198">
        <v>236.6</v>
      </c>
      <c r="AA72" s="196">
        <v>-0.0183</v>
      </c>
      <c r="AC72" s="190">
        <v>200.95</v>
      </c>
      <c r="AD72" s="189">
        <v>-0.0094</v>
      </c>
      <c r="AF72" s="197">
        <v>50.65</v>
      </c>
      <c r="AG72" s="196">
        <v>-0.0165</v>
      </c>
      <c r="AI72" s="197">
        <v>870.9</v>
      </c>
      <c r="AJ72" s="196">
        <v>-0.0535</v>
      </c>
    </row>
    <row r="73" ht="15.75" customHeight="1">
      <c r="A73" s="177"/>
      <c r="B73" s="178">
        <v>45148.0</v>
      </c>
      <c r="C73" s="188">
        <v>19751.05</v>
      </c>
      <c r="D73" s="189">
        <v>0.005</v>
      </c>
      <c r="F73" s="190">
        <v>254.1</v>
      </c>
      <c r="G73" s="189">
        <v>-0.018</v>
      </c>
      <c r="Z73" s="198">
        <v>241.0</v>
      </c>
      <c r="AA73" s="196">
        <v>-0.0043</v>
      </c>
      <c r="AC73" s="190">
        <v>202.85</v>
      </c>
      <c r="AD73" s="189">
        <v>0.0052</v>
      </c>
      <c r="AF73" s="197">
        <v>51.5</v>
      </c>
      <c r="AG73" s="196">
        <v>-0.0181</v>
      </c>
      <c r="AI73" s="197">
        <v>920.15</v>
      </c>
      <c r="AJ73" s="196">
        <v>-0.0303</v>
      </c>
    </row>
    <row r="74" ht="15.75" customHeight="1">
      <c r="A74" s="177"/>
      <c r="B74" s="178">
        <v>44936.0</v>
      </c>
      <c r="C74" s="188">
        <v>19653.5</v>
      </c>
      <c r="D74" s="189">
        <v>8.0E-4</v>
      </c>
      <c r="F74" s="190">
        <v>258.75</v>
      </c>
      <c r="G74" s="189">
        <v>-0.0135</v>
      </c>
      <c r="Z74" s="198">
        <v>242.05</v>
      </c>
      <c r="AA74" s="196">
        <v>0.0276</v>
      </c>
      <c r="AC74" s="190">
        <v>201.8</v>
      </c>
      <c r="AD74" s="189">
        <v>0.0241</v>
      </c>
      <c r="AF74" s="197">
        <v>52.45</v>
      </c>
      <c r="AG74" s="196">
        <v>-0.0132</v>
      </c>
      <c r="AI74" s="197">
        <v>948.9</v>
      </c>
      <c r="AJ74" s="196">
        <v>-0.0128</v>
      </c>
    </row>
    <row r="75" ht="15.75" customHeight="1">
      <c r="A75" s="177"/>
      <c r="B75" s="178" t="s">
        <v>366</v>
      </c>
      <c r="C75" s="188">
        <v>19638.3</v>
      </c>
      <c r="D75" s="189">
        <v>-0.0018</v>
      </c>
      <c r="F75" s="190">
        <v>262.3</v>
      </c>
      <c r="G75" s="189">
        <v>0.0202</v>
      </c>
      <c r="Z75" s="198">
        <v>235.55</v>
      </c>
      <c r="AA75" s="196">
        <v>-0.0407</v>
      </c>
      <c r="AC75" s="190">
        <v>197.05</v>
      </c>
      <c r="AD75" s="189">
        <v>-0.0135</v>
      </c>
      <c r="AF75" s="197">
        <v>53.15</v>
      </c>
      <c r="AG75" s="196">
        <v>0.0066</v>
      </c>
      <c r="AI75" s="197">
        <v>961.25</v>
      </c>
      <c r="AJ75" s="196">
        <v>-0.0262</v>
      </c>
    </row>
    <row r="76" ht="15.75" customHeight="1">
      <c r="A76" s="177"/>
      <c r="B76" s="178" t="s">
        <v>367</v>
      </c>
      <c r="C76" s="188">
        <v>19674.25</v>
      </c>
      <c r="D76" s="189">
        <v>-0.0257</v>
      </c>
      <c r="F76" s="190">
        <v>257.1</v>
      </c>
      <c r="G76" s="189">
        <v>-0.026</v>
      </c>
      <c r="Z76" s="198">
        <v>245.55</v>
      </c>
      <c r="AA76" s="196">
        <v>0.0319</v>
      </c>
      <c r="AC76" s="190">
        <v>199.75</v>
      </c>
      <c r="AD76" s="189">
        <v>0.003</v>
      </c>
      <c r="AF76" s="197">
        <v>52.8</v>
      </c>
      <c r="AG76" s="196">
        <v>0.0144</v>
      </c>
      <c r="AI76" s="197">
        <v>987.15</v>
      </c>
      <c r="AJ76" s="196">
        <v>-0.0311</v>
      </c>
    </row>
    <row r="77" ht="15.75" customHeight="1">
      <c r="A77" s="177"/>
      <c r="B77" s="178">
        <v>45208.0</v>
      </c>
      <c r="C77" s="188">
        <v>20192.35</v>
      </c>
      <c r="D77" s="189">
        <v>0.0188</v>
      </c>
      <c r="F77" s="190">
        <v>263.95</v>
      </c>
      <c r="G77" s="189">
        <v>-0.0182</v>
      </c>
      <c r="Z77" s="198">
        <v>237.95</v>
      </c>
      <c r="AA77" s="196">
        <v>0.0074</v>
      </c>
      <c r="AC77" s="190">
        <v>199.15</v>
      </c>
      <c r="AD77" s="189">
        <v>0.026</v>
      </c>
      <c r="AF77" s="197">
        <v>52.05</v>
      </c>
      <c r="AG77" s="196">
        <v>-0.0502</v>
      </c>
      <c r="AI77" s="199">
        <v>1018.8</v>
      </c>
      <c r="AJ77" s="196">
        <v>0.0123</v>
      </c>
    </row>
    <row r="78" ht="15.75" customHeight="1">
      <c r="A78" s="177"/>
      <c r="B78" s="178">
        <v>44994.0</v>
      </c>
      <c r="C78" s="188">
        <v>19819.95</v>
      </c>
      <c r="D78" s="189">
        <v>0.0198</v>
      </c>
      <c r="F78" s="190">
        <v>268.85</v>
      </c>
      <c r="G78" s="189">
        <v>0.0529</v>
      </c>
      <c r="Z78" s="198">
        <v>236.2</v>
      </c>
      <c r="AA78" s="196">
        <v>-0.0169</v>
      </c>
      <c r="AC78" s="190">
        <v>194.1</v>
      </c>
      <c r="AD78" s="189">
        <v>6.0E-4</v>
      </c>
      <c r="AF78" s="197">
        <v>54.8</v>
      </c>
      <c r="AG78" s="196">
        <v>0.0379</v>
      </c>
      <c r="AI78" s="199">
        <v>1006.45</v>
      </c>
      <c r="AJ78" s="196">
        <v>0.0052</v>
      </c>
    </row>
    <row r="79" ht="15.75" customHeight="1">
      <c r="A79" s="177"/>
      <c r="B79" s="178" t="s">
        <v>368</v>
      </c>
      <c r="C79" s="188">
        <v>19435.3</v>
      </c>
      <c r="D79" s="189">
        <v>0.0088</v>
      </c>
      <c r="F79" s="190">
        <v>255.35</v>
      </c>
      <c r="G79" s="189">
        <v>0.0397</v>
      </c>
      <c r="Z79" s="198">
        <v>240.25</v>
      </c>
      <c r="AA79" s="196">
        <v>0.0414</v>
      </c>
      <c r="AC79" s="190">
        <v>193.99</v>
      </c>
      <c r="AD79" s="189">
        <v>0.0256</v>
      </c>
      <c r="AF79" s="197">
        <v>52.8</v>
      </c>
      <c r="AG79" s="196">
        <v>0.0507</v>
      </c>
      <c r="AI79" s="199">
        <v>1001.2</v>
      </c>
      <c r="AJ79" s="196">
        <v>0.0549</v>
      </c>
    </row>
    <row r="80" ht="15.75" customHeight="1">
      <c r="A80" s="177"/>
      <c r="B80" s="178" t="s">
        <v>369</v>
      </c>
      <c r="C80" s="188">
        <v>19265.8</v>
      </c>
      <c r="D80" s="189">
        <v>-0.0023</v>
      </c>
      <c r="F80" s="190">
        <v>245.6</v>
      </c>
      <c r="G80" s="189">
        <v>0.0674</v>
      </c>
      <c r="Z80" s="198">
        <v>230.7</v>
      </c>
      <c r="AA80" s="196">
        <v>0.0587</v>
      </c>
      <c r="AC80" s="190">
        <v>189.15</v>
      </c>
      <c r="AD80" s="189">
        <v>0.0421</v>
      </c>
      <c r="AF80" s="197">
        <v>50.25</v>
      </c>
      <c r="AG80" s="196">
        <v>0.005</v>
      </c>
      <c r="AI80" s="197">
        <v>949.1</v>
      </c>
      <c r="AJ80" s="196">
        <v>-0.031</v>
      </c>
    </row>
    <row r="81" ht="15.75" customHeight="1">
      <c r="A81" s="177"/>
      <c r="B81" s="178" t="s">
        <v>370</v>
      </c>
      <c r="C81" s="188">
        <v>19310.15</v>
      </c>
      <c r="D81" s="189">
        <v>-0.0061</v>
      </c>
      <c r="F81" s="190">
        <v>230.1</v>
      </c>
      <c r="G81" s="189">
        <v>-0.0258</v>
      </c>
      <c r="Z81" s="198">
        <v>217.9</v>
      </c>
      <c r="AA81" s="196">
        <v>0.0128</v>
      </c>
      <c r="AC81" s="190">
        <v>181.5</v>
      </c>
      <c r="AD81" s="189">
        <v>0.0041</v>
      </c>
      <c r="AF81" s="197">
        <v>50.0</v>
      </c>
      <c r="AG81" s="196">
        <v>0.003</v>
      </c>
      <c r="AI81" s="197">
        <v>979.45</v>
      </c>
      <c r="AJ81" s="196">
        <v>-0.0154</v>
      </c>
    </row>
    <row r="82" ht="15.75" customHeight="1">
      <c r="A82" s="177"/>
      <c r="B82" s="178">
        <v>45085.0</v>
      </c>
      <c r="C82" s="188">
        <v>19428.3</v>
      </c>
      <c r="D82" s="189">
        <v>-0.0045</v>
      </c>
      <c r="F82" s="190">
        <v>236.2</v>
      </c>
      <c r="G82" s="189">
        <v>0.0023</v>
      </c>
      <c r="Z82" s="198">
        <v>215.15</v>
      </c>
      <c r="AA82" s="196">
        <v>0.0101</v>
      </c>
      <c r="AC82" s="190">
        <v>180.75</v>
      </c>
      <c r="AD82" s="189">
        <v>-0.0135</v>
      </c>
      <c r="AF82" s="197">
        <v>49.85</v>
      </c>
      <c r="AG82" s="196">
        <v>-0.006</v>
      </c>
      <c r="AI82" s="197">
        <v>994.75</v>
      </c>
      <c r="AJ82" s="196">
        <v>0.0241</v>
      </c>
    </row>
    <row r="83" ht="15.75" customHeight="1">
      <c r="A83" s="177"/>
      <c r="B83" s="178" t="s">
        <v>371</v>
      </c>
      <c r="C83" s="188">
        <v>19517.0</v>
      </c>
      <c r="D83" s="189">
        <v>-0.0066</v>
      </c>
      <c r="F83" s="190">
        <v>235.65</v>
      </c>
      <c r="G83" s="189">
        <v>0.0043</v>
      </c>
      <c r="Z83" s="198">
        <v>213.0</v>
      </c>
      <c r="AA83" s="196">
        <v>-0.0227</v>
      </c>
      <c r="AC83" s="190">
        <v>183.23</v>
      </c>
      <c r="AD83" s="189">
        <v>-0.0123</v>
      </c>
      <c r="AF83" s="197">
        <v>50.15</v>
      </c>
      <c r="AG83" s="196">
        <v>0.0142</v>
      </c>
      <c r="AI83" s="197">
        <v>971.35</v>
      </c>
      <c r="AJ83" s="196">
        <v>-0.0407</v>
      </c>
    </row>
    <row r="84" ht="15.75" customHeight="1">
      <c r="A84" s="177"/>
      <c r="B84" s="178" t="s">
        <v>372</v>
      </c>
      <c r="C84" s="188">
        <v>19646.05</v>
      </c>
      <c r="D84" s="189">
        <v>-0.005</v>
      </c>
      <c r="F84" s="190">
        <v>234.65</v>
      </c>
      <c r="G84" s="189">
        <v>0.0793</v>
      </c>
      <c r="Z84" s="198">
        <v>217.95</v>
      </c>
      <c r="AA84" s="196">
        <v>0.0379</v>
      </c>
      <c r="AC84" s="190">
        <v>185.51</v>
      </c>
      <c r="AD84" s="189">
        <v>-0.042</v>
      </c>
      <c r="AF84" s="197">
        <v>49.45</v>
      </c>
      <c r="AG84" s="196">
        <v>-0.0159</v>
      </c>
      <c r="AI84" s="199">
        <v>1012.55</v>
      </c>
      <c r="AJ84" s="196">
        <v>-0.0733</v>
      </c>
    </row>
    <row r="85" ht="15.75" customHeight="1">
      <c r="A85" s="177"/>
      <c r="B85" s="178" t="s">
        <v>373</v>
      </c>
      <c r="C85" s="188">
        <v>19745.0</v>
      </c>
      <c r="D85" s="189">
        <v>0.0092</v>
      </c>
      <c r="F85" s="190">
        <v>217.4</v>
      </c>
      <c r="G85" s="189">
        <v>-0.0165</v>
      </c>
      <c r="Z85" s="198">
        <v>210.0</v>
      </c>
      <c r="AA85" s="196">
        <v>0.0764</v>
      </c>
      <c r="AC85" s="190">
        <v>193.65</v>
      </c>
      <c r="AD85" s="189">
        <v>0.0578</v>
      </c>
      <c r="AF85" s="197">
        <v>50.25</v>
      </c>
      <c r="AG85" s="196">
        <v>0.0691</v>
      </c>
      <c r="AI85" s="199">
        <v>1092.6</v>
      </c>
      <c r="AJ85" s="196">
        <v>0.0975</v>
      </c>
    </row>
    <row r="86" ht="15.75" customHeight="1">
      <c r="A86" s="177"/>
      <c r="B86" s="178">
        <v>45176.0</v>
      </c>
      <c r="C86" s="188">
        <v>19564.5</v>
      </c>
      <c r="D86" s="189">
        <v>0.012</v>
      </c>
      <c r="F86" s="190">
        <v>221.05</v>
      </c>
      <c r="G86" s="189">
        <v>-0.0305</v>
      </c>
      <c r="Z86" s="198">
        <v>195.1</v>
      </c>
      <c r="AA86" s="196">
        <v>0.0408</v>
      </c>
      <c r="AC86" s="190">
        <v>183.07</v>
      </c>
      <c r="AD86" s="189">
        <v>0.0169</v>
      </c>
      <c r="AF86" s="197">
        <v>47.0</v>
      </c>
      <c r="AG86" s="196">
        <v>0.024</v>
      </c>
      <c r="AI86" s="197">
        <v>995.55</v>
      </c>
      <c r="AJ86" s="196">
        <v>0.0314</v>
      </c>
    </row>
    <row r="87" ht="15.75" customHeight="1">
      <c r="A87" s="177"/>
      <c r="B87" s="178">
        <v>44964.0</v>
      </c>
      <c r="C87" s="188">
        <v>19331.8</v>
      </c>
      <c r="D87" s="189">
        <v>0.0074</v>
      </c>
      <c r="F87" s="190">
        <v>228.0</v>
      </c>
      <c r="G87" s="189">
        <v>0.0277</v>
      </c>
      <c r="Z87" s="198">
        <v>187.45</v>
      </c>
      <c r="AA87" s="196">
        <v>-0.0267</v>
      </c>
      <c r="AC87" s="190">
        <v>180.04</v>
      </c>
      <c r="AD87" s="189">
        <v>-0.0603</v>
      </c>
      <c r="AF87" s="197">
        <v>45.9</v>
      </c>
      <c r="AG87" s="196">
        <v>-0.0043</v>
      </c>
      <c r="AI87" s="197">
        <v>965.2</v>
      </c>
      <c r="AJ87" s="196">
        <v>0.0149</v>
      </c>
    </row>
    <row r="88" ht="15.75" customHeight="1">
      <c r="A88" s="177"/>
      <c r="B88" s="178" t="s">
        <v>374</v>
      </c>
      <c r="C88" s="188">
        <v>19189.05</v>
      </c>
      <c r="D88" s="189">
        <v>0.028</v>
      </c>
      <c r="F88" s="190">
        <v>221.85</v>
      </c>
      <c r="G88" s="189">
        <v>0.0163</v>
      </c>
      <c r="Z88" s="198">
        <v>192.6</v>
      </c>
      <c r="AA88" s="196">
        <v>0.0182</v>
      </c>
      <c r="AC88" s="190">
        <v>191.59</v>
      </c>
      <c r="AD88" s="189">
        <v>0.0012</v>
      </c>
      <c r="AF88" s="197">
        <v>46.1</v>
      </c>
      <c r="AG88" s="196">
        <v>0.0033</v>
      </c>
      <c r="AI88" s="197">
        <v>951.0</v>
      </c>
      <c r="AJ88" s="196">
        <v>0.0054</v>
      </c>
    </row>
    <row r="89" ht="15.75" customHeight="1">
      <c r="A89" s="177"/>
      <c r="B89" s="178" t="s">
        <v>375</v>
      </c>
      <c r="C89" s="188">
        <v>18665.5</v>
      </c>
      <c r="D89" s="189">
        <v>-0.0085</v>
      </c>
      <c r="F89" s="190">
        <v>218.3</v>
      </c>
      <c r="G89" s="189">
        <v>-0.0178</v>
      </c>
      <c r="Z89" s="198">
        <v>189.15</v>
      </c>
      <c r="AA89" s="196">
        <v>0.0131</v>
      </c>
      <c r="AC89" s="190">
        <v>191.36</v>
      </c>
      <c r="AD89" s="189">
        <v>0.0202</v>
      </c>
      <c r="AF89" s="197">
        <v>45.95</v>
      </c>
      <c r="AG89" s="196">
        <v>0.0088</v>
      </c>
      <c r="AI89" s="197">
        <v>945.9</v>
      </c>
      <c r="AJ89" s="196">
        <v>-0.0145</v>
      </c>
    </row>
    <row r="90" ht="15.75" customHeight="1">
      <c r="A90" s="177"/>
      <c r="B90" s="178">
        <v>45236.0</v>
      </c>
      <c r="C90" s="188">
        <v>18826.0</v>
      </c>
      <c r="D90" s="189">
        <v>0.0141</v>
      </c>
      <c r="F90" s="190">
        <v>222.25</v>
      </c>
      <c r="G90" s="189">
        <v>0.0047</v>
      </c>
      <c r="Z90" s="198">
        <v>186.7</v>
      </c>
      <c r="AA90" s="196">
        <v>-0.008</v>
      </c>
      <c r="AC90" s="190">
        <v>187.57</v>
      </c>
      <c r="AD90" s="189">
        <v>0.0148</v>
      </c>
      <c r="AF90" s="197">
        <v>45.55</v>
      </c>
      <c r="AG90" s="196">
        <v>0.0122</v>
      </c>
      <c r="AI90" s="197">
        <v>959.85</v>
      </c>
      <c r="AJ90" s="196">
        <v>-0.0156</v>
      </c>
    </row>
    <row r="91" ht="15.75" customHeight="1">
      <c r="A91" s="177"/>
      <c r="B91" s="178">
        <v>45022.0</v>
      </c>
      <c r="C91" s="188">
        <v>18563.4</v>
      </c>
      <c r="D91" s="189">
        <v>0.0016</v>
      </c>
      <c r="F91" s="190">
        <v>221.2</v>
      </c>
      <c r="G91" s="189">
        <v>0.0257</v>
      </c>
      <c r="Z91" s="198">
        <v>188.2</v>
      </c>
      <c r="AA91" s="196">
        <v>0.0295</v>
      </c>
      <c r="AC91" s="190">
        <v>184.84</v>
      </c>
      <c r="AD91" s="189">
        <v>0.0063</v>
      </c>
      <c r="AF91" s="197">
        <v>45.0</v>
      </c>
      <c r="AG91" s="196">
        <v>0.0112</v>
      </c>
      <c r="AI91" s="197">
        <v>975.05</v>
      </c>
      <c r="AJ91" s="196">
        <v>0.0118</v>
      </c>
    </row>
    <row r="92" ht="15.75" customHeight="1">
      <c r="A92" s="177"/>
      <c r="B92" s="178" t="s">
        <v>376</v>
      </c>
      <c r="C92" s="188">
        <v>18534.1</v>
      </c>
      <c r="D92" s="189">
        <v>0.0019</v>
      </c>
      <c r="F92" s="190">
        <v>215.65</v>
      </c>
      <c r="G92" s="189">
        <v>0.0163</v>
      </c>
      <c r="Z92" s="198">
        <v>182.8</v>
      </c>
      <c r="AA92" s="196">
        <v>0.0473</v>
      </c>
      <c r="AC92" s="190">
        <v>183.68</v>
      </c>
      <c r="AD92" s="189">
        <v>0.0439</v>
      </c>
      <c r="AF92" s="197">
        <v>44.5</v>
      </c>
      <c r="AG92" s="196">
        <v>0.0301</v>
      </c>
      <c r="AI92" s="197">
        <v>963.65</v>
      </c>
      <c r="AJ92" s="196">
        <v>-0.0202</v>
      </c>
    </row>
    <row r="93" ht="15.75" customHeight="1">
      <c r="A93" s="177"/>
      <c r="B93" s="178" t="s">
        <v>377</v>
      </c>
      <c r="C93" s="188">
        <v>18499.35</v>
      </c>
      <c r="D93" s="189">
        <v>0.0163</v>
      </c>
      <c r="F93" s="190">
        <v>212.2</v>
      </c>
      <c r="G93" s="189">
        <v>0.0308</v>
      </c>
      <c r="Z93" s="198">
        <v>174.55</v>
      </c>
      <c r="AA93" s="196">
        <v>3.0E-4</v>
      </c>
      <c r="AC93" s="190">
        <v>175.95</v>
      </c>
      <c r="AD93" s="189">
        <v>-0.0114</v>
      </c>
      <c r="AF93" s="197">
        <v>43.2</v>
      </c>
      <c r="AG93" s="196">
        <v>0.0058</v>
      </c>
      <c r="AI93" s="197">
        <v>983.55</v>
      </c>
      <c r="AJ93" s="196">
        <v>0.021</v>
      </c>
    </row>
    <row r="94" ht="15.75" customHeight="1">
      <c r="A94" s="177"/>
      <c r="B94" s="178" t="s">
        <v>378</v>
      </c>
      <c r="C94" s="188">
        <v>18203.4</v>
      </c>
      <c r="D94" s="189">
        <v>-0.0061</v>
      </c>
      <c r="F94" s="190">
        <v>205.85</v>
      </c>
      <c r="G94" s="189">
        <v>-0.0058</v>
      </c>
      <c r="Z94" s="198">
        <v>174.5</v>
      </c>
      <c r="AA94" s="196">
        <v>0.0069</v>
      </c>
      <c r="AC94" s="190">
        <v>177.98</v>
      </c>
      <c r="AD94" s="189">
        <v>0.0154</v>
      </c>
      <c r="AF94" s="197">
        <v>42.95</v>
      </c>
      <c r="AG94" s="196">
        <v>-0.0261</v>
      </c>
      <c r="AI94" s="197">
        <v>963.35</v>
      </c>
      <c r="AJ94" s="196">
        <v>0.074</v>
      </c>
    </row>
    <row r="95" ht="15.75" customHeight="1">
      <c r="A95" s="177"/>
      <c r="B95" s="178">
        <v>45112.0</v>
      </c>
      <c r="C95" s="188">
        <v>18314.8</v>
      </c>
      <c r="D95" s="189">
        <v>0.0136</v>
      </c>
      <c r="F95" s="190">
        <v>207.05</v>
      </c>
      <c r="G95" s="189">
        <v>0.0345</v>
      </c>
      <c r="Z95" s="198">
        <v>173.3</v>
      </c>
      <c r="AA95" s="196">
        <v>-0.0094</v>
      </c>
      <c r="AC95" s="190">
        <v>175.27</v>
      </c>
      <c r="AD95" s="189">
        <v>-0.0333</v>
      </c>
      <c r="AF95" s="197">
        <v>44.1</v>
      </c>
      <c r="AG95" s="196">
        <v>-0.0101</v>
      </c>
      <c r="AI95" s="197">
        <v>896.95</v>
      </c>
      <c r="AJ95" s="196">
        <v>0.0015</v>
      </c>
    </row>
    <row r="96" ht="15.75" customHeight="1">
      <c r="A96" s="177"/>
      <c r="B96" s="178" t="s">
        <v>379</v>
      </c>
      <c r="C96" s="188">
        <v>18069.0</v>
      </c>
      <c r="D96" s="189">
        <v>2.0E-4</v>
      </c>
      <c r="F96" s="190">
        <v>200.15</v>
      </c>
      <c r="G96" s="189">
        <v>-0.0047</v>
      </c>
      <c r="Z96" s="198">
        <v>174.95</v>
      </c>
      <c r="AA96" s="196">
        <v>0.004</v>
      </c>
      <c r="AC96" s="190">
        <v>181.31</v>
      </c>
      <c r="AD96" s="189">
        <v>0.0029</v>
      </c>
      <c r="AF96" s="197">
        <v>44.55</v>
      </c>
      <c r="AG96" s="196">
        <v>-0.0252</v>
      </c>
      <c r="AI96" s="197">
        <v>895.6</v>
      </c>
      <c r="AJ96" s="196">
        <v>-0.0478</v>
      </c>
    </row>
    <row r="97" ht="15.75" customHeight="1">
      <c r="A97" s="177"/>
      <c r="B97" s="178" t="s">
        <v>380</v>
      </c>
      <c r="C97" s="188">
        <v>18065.0</v>
      </c>
      <c r="D97" s="189">
        <v>0.025</v>
      </c>
      <c r="F97" s="190">
        <v>201.1</v>
      </c>
      <c r="G97" s="189">
        <v>0.0276</v>
      </c>
      <c r="Z97" s="198">
        <v>174.25</v>
      </c>
      <c r="AA97" s="196">
        <v>0.0131</v>
      </c>
      <c r="AC97" s="190">
        <v>180.79</v>
      </c>
      <c r="AD97" s="189">
        <v>0.016</v>
      </c>
      <c r="AF97" s="197">
        <v>45.7</v>
      </c>
      <c r="AG97" s="196">
        <v>0.0328</v>
      </c>
      <c r="AI97" s="197">
        <v>940.55</v>
      </c>
      <c r="AJ97" s="196">
        <v>-0.011</v>
      </c>
    </row>
    <row r="98" ht="15.75" customHeight="1">
      <c r="A98" s="177"/>
      <c r="B98" s="178" t="s">
        <v>381</v>
      </c>
      <c r="C98" s="188">
        <v>17624.05</v>
      </c>
      <c r="D98" s="189">
        <v>-0.0114</v>
      </c>
      <c r="F98" s="190">
        <v>195.7</v>
      </c>
      <c r="G98" s="189">
        <v>-0.0031</v>
      </c>
      <c r="Z98" s="198">
        <v>172.0</v>
      </c>
      <c r="AA98" s="196">
        <v>0.0136</v>
      </c>
      <c r="AC98" s="190">
        <v>177.94</v>
      </c>
      <c r="AD98" s="189">
        <v>0.0246</v>
      </c>
      <c r="AF98" s="197">
        <v>44.25</v>
      </c>
      <c r="AG98" s="196">
        <v>0.0327</v>
      </c>
      <c r="AI98" s="197">
        <v>951.0</v>
      </c>
      <c r="AJ98" s="196">
        <v>0.038</v>
      </c>
    </row>
    <row r="99" ht="15.75" customHeight="1">
      <c r="A99" s="177"/>
      <c r="B99" s="178">
        <v>45173.0</v>
      </c>
      <c r="C99" s="188">
        <v>17828.0</v>
      </c>
      <c r="D99" s="189">
        <v>0.013</v>
      </c>
      <c r="F99" s="190">
        <v>196.3</v>
      </c>
      <c r="G99" s="189">
        <v>0.0054</v>
      </c>
      <c r="Z99" s="198">
        <v>169.7</v>
      </c>
      <c r="AA99" s="196">
        <v>-0.0194</v>
      </c>
      <c r="AC99" s="190">
        <v>173.66</v>
      </c>
      <c r="AD99" s="189">
        <v>0.0015</v>
      </c>
      <c r="AF99" s="197">
        <v>42.85</v>
      </c>
      <c r="AG99" s="196">
        <v>0.0</v>
      </c>
      <c r="AI99" s="197">
        <v>916.2</v>
      </c>
      <c r="AJ99" s="196">
        <v>-0.0265</v>
      </c>
    </row>
    <row r="100" ht="15.75" customHeight="1">
      <c r="A100" s="177"/>
      <c r="B100" s="178">
        <v>44961.0</v>
      </c>
      <c r="C100" s="188">
        <v>17599.15</v>
      </c>
      <c r="D100" s="189">
        <v>0.0138</v>
      </c>
      <c r="F100" s="190">
        <v>195.25</v>
      </c>
      <c r="G100" s="189">
        <v>0.0263</v>
      </c>
      <c r="Z100" s="198">
        <v>173.05</v>
      </c>
      <c r="AA100" s="196">
        <v>-0.0123</v>
      </c>
      <c r="AC100" s="190">
        <v>173.4</v>
      </c>
      <c r="AD100" s="189">
        <v>0.0264</v>
      </c>
      <c r="AF100" s="197">
        <v>42.85</v>
      </c>
      <c r="AG100" s="196">
        <v>0.0646</v>
      </c>
      <c r="AI100" s="197">
        <v>941.15</v>
      </c>
      <c r="AJ100" s="196">
        <v>0.099</v>
      </c>
    </row>
    <row r="101" ht="15.75" customHeight="1">
      <c r="A101" s="177"/>
      <c r="B101" s="178" t="s">
        <v>382</v>
      </c>
      <c r="C101" s="188">
        <v>17359.75</v>
      </c>
      <c r="D101" s="189">
        <v>0.0245</v>
      </c>
      <c r="F101" s="190">
        <v>190.25</v>
      </c>
      <c r="G101" s="189">
        <v>-0.013</v>
      </c>
      <c r="Z101" s="198">
        <v>175.2</v>
      </c>
      <c r="AA101" s="196">
        <v>6.0E-4</v>
      </c>
      <c r="AC101" s="190">
        <v>168.94</v>
      </c>
      <c r="AD101" s="189">
        <v>-0.002</v>
      </c>
      <c r="AF101" s="197">
        <v>40.25</v>
      </c>
      <c r="AG101" s="196">
        <v>0.0012</v>
      </c>
      <c r="AI101" s="197">
        <v>856.35</v>
      </c>
      <c r="AJ101" s="196">
        <v>-0.0281</v>
      </c>
    </row>
    <row r="102" ht="15.75" customHeight="1">
      <c r="A102" s="177"/>
      <c r="B102" s="178" t="s">
        <v>383</v>
      </c>
      <c r="C102" s="188">
        <v>16945.05</v>
      </c>
      <c r="D102" s="189">
        <v>-0.0091</v>
      </c>
      <c r="F102" s="190">
        <v>192.75</v>
      </c>
      <c r="G102" s="189">
        <v>-0.0604</v>
      </c>
      <c r="Z102" s="198">
        <v>175.1</v>
      </c>
      <c r="AA102" s="196">
        <v>0.0139</v>
      </c>
      <c r="AC102" s="190">
        <v>169.27</v>
      </c>
      <c r="AD102" s="189">
        <v>0.0148</v>
      </c>
      <c r="AF102" s="197">
        <v>40.2</v>
      </c>
      <c r="AG102" s="196">
        <v>0.0152</v>
      </c>
      <c r="AI102" s="197">
        <v>881.15</v>
      </c>
      <c r="AJ102" s="196">
        <v>-0.144</v>
      </c>
    </row>
    <row r="103" ht="15.75" customHeight="1">
      <c r="A103" s="177"/>
      <c r="B103" s="178">
        <v>45263.0</v>
      </c>
      <c r="C103" s="188">
        <v>17100.05</v>
      </c>
      <c r="D103" s="189">
        <v>-0.018</v>
      </c>
      <c r="F103" s="190">
        <v>205.15</v>
      </c>
      <c r="G103" s="189">
        <v>-0.0172</v>
      </c>
      <c r="Z103" s="198">
        <v>172.7</v>
      </c>
      <c r="AA103" s="196">
        <v>-0.024</v>
      </c>
      <c r="AC103" s="190">
        <v>166.8</v>
      </c>
      <c r="AD103" s="189">
        <v>-0.0318</v>
      </c>
      <c r="AF103" s="197">
        <v>39.6</v>
      </c>
      <c r="AG103" s="196">
        <v>-0.0526</v>
      </c>
      <c r="AI103" s="199">
        <v>1029.35</v>
      </c>
      <c r="AJ103" s="196">
        <v>0.2611</v>
      </c>
    </row>
    <row r="104" ht="15.75" customHeight="1">
      <c r="A104" s="177"/>
      <c r="B104" s="178">
        <v>45049.0</v>
      </c>
      <c r="C104" s="188">
        <v>17412.9</v>
      </c>
      <c r="D104" s="189">
        <v>-0.0103</v>
      </c>
      <c r="F104" s="190">
        <v>208.75</v>
      </c>
      <c r="G104" s="189">
        <v>0.0048</v>
      </c>
      <c r="Z104" s="198">
        <v>176.95</v>
      </c>
      <c r="AA104" s="196">
        <v>-0.021</v>
      </c>
      <c r="AC104" s="190">
        <v>172.27</v>
      </c>
      <c r="AD104" s="189">
        <v>0.0139</v>
      </c>
      <c r="AF104" s="197">
        <v>41.8</v>
      </c>
      <c r="AG104" s="196">
        <v>0.0183</v>
      </c>
      <c r="AI104" s="197">
        <v>816.25</v>
      </c>
      <c r="AJ104" s="196">
        <v>0.1956</v>
      </c>
    </row>
    <row r="105" ht="15.75" customHeight="1">
      <c r="A105" s="177"/>
      <c r="B105" s="178" t="s">
        <v>384</v>
      </c>
      <c r="C105" s="188">
        <v>17594.35</v>
      </c>
      <c r="D105" s="189">
        <v>0.0074</v>
      </c>
      <c r="F105" s="190">
        <v>207.75</v>
      </c>
      <c r="G105" s="189">
        <v>0.0269</v>
      </c>
      <c r="Z105" s="198">
        <v>180.75</v>
      </c>
      <c r="AA105" s="196">
        <v>0.0472</v>
      </c>
      <c r="AC105" s="190">
        <v>169.91</v>
      </c>
      <c r="AD105" s="189">
        <v>0.02</v>
      </c>
      <c r="AF105" s="197">
        <v>41.05</v>
      </c>
      <c r="AG105" s="196">
        <v>0.0314</v>
      </c>
      <c r="AI105" s="197">
        <v>682.7</v>
      </c>
      <c r="AJ105" s="196">
        <v>0.2153</v>
      </c>
    </row>
    <row r="106" ht="15.75" customHeight="1">
      <c r="A106" s="177"/>
      <c r="B106" s="178" t="s">
        <v>385</v>
      </c>
      <c r="C106" s="188">
        <v>17465.8</v>
      </c>
      <c r="D106" s="189">
        <v>-0.0267</v>
      </c>
      <c r="F106" s="190">
        <v>202.3</v>
      </c>
      <c r="G106" s="189">
        <v>-0.0117</v>
      </c>
      <c r="Z106" s="198">
        <v>172.6</v>
      </c>
      <c r="AA106" s="196">
        <v>0.0094</v>
      </c>
      <c r="AC106" s="190">
        <v>166.57</v>
      </c>
      <c r="AD106" s="189">
        <v>0.0328</v>
      </c>
      <c r="AF106" s="197">
        <v>39.8</v>
      </c>
      <c r="AG106" s="196">
        <v>0.0311</v>
      </c>
      <c r="AI106" s="197">
        <v>561.75</v>
      </c>
      <c r="AJ106" s="196">
        <v>0.1547</v>
      </c>
    </row>
    <row r="107" ht="15.75" customHeight="1">
      <c r="A107" s="177"/>
      <c r="B107" s="178">
        <v>45262.0</v>
      </c>
      <c r="C107" s="188">
        <v>17944.2</v>
      </c>
      <c r="D107" s="189">
        <v>0.0049</v>
      </c>
      <c r="F107" s="190">
        <v>204.7</v>
      </c>
      <c r="G107" s="189">
        <v>-5.0E-4</v>
      </c>
      <c r="Z107" s="198">
        <v>171.0</v>
      </c>
      <c r="AA107" s="196">
        <v>0.0176</v>
      </c>
      <c r="AC107" s="190">
        <v>161.29</v>
      </c>
      <c r="AD107" s="189">
        <v>0.0058</v>
      </c>
      <c r="AF107" s="197">
        <v>38.6</v>
      </c>
      <c r="AG107" s="196">
        <v>-0.035</v>
      </c>
      <c r="AI107" s="197">
        <v>486.5</v>
      </c>
      <c r="AJ107" s="196">
        <v>-0.2261</v>
      </c>
    </row>
    <row r="108" ht="15.75" customHeight="1">
      <c r="A108" s="177"/>
      <c r="B108" s="178">
        <v>45048.0</v>
      </c>
      <c r="C108" s="188">
        <v>17856.5</v>
      </c>
      <c r="D108" s="189">
        <v>1.0E-4</v>
      </c>
      <c r="F108" s="190">
        <v>204.8</v>
      </c>
      <c r="G108" s="189">
        <v>-0.0024</v>
      </c>
      <c r="Z108" s="198">
        <v>168.05</v>
      </c>
      <c r="AA108" s="196">
        <v>0.0185</v>
      </c>
      <c r="AC108" s="190">
        <v>160.35</v>
      </c>
      <c r="AD108" s="189">
        <v>-0.0014</v>
      </c>
      <c r="AF108" s="197">
        <v>40.0</v>
      </c>
      <c r="AG108" s="196">
        <v>0.0</v>
      </c>
      <c r="AI108" s="197">
        <v>628.65</v>
      </c>
      <c r="AJ108" s="196">
        <v>-0.132</v>
      </c>
    </row>
    <row r="109" ht="15.75" customHeight="1">
      <c r="A109" s="177"/>
      <c r="B109" s="178" t="s">
        <v>386</v>
      </c>
      <c r="C109" s="188">
        <v>17854.05</v>
      </c>
      <c r="D109" s="189">
        <v>0.0142</v>
      </c>
      <c r="F109" s="190">
        <v>205.3</v>
      </c>
      <c r="G109" s="189">
        <v>0.0146</v>
      </c>
      <c r="Z109" s="198">
        <v>165.0</v>
      </c>
      <c r="AA109" s="196">
        <v>-0.0033</v>
      </c>
      <c r="AC109" s="190">
        <v>160.57</v>
      </c>
      <c r="AD109" s="189">
        <v>-0.0035</v>
      </c>
      <c r="AF109" s="197">
        <v>40.0</v>
      </c>
      <c r="AG109" s="196">
        <v>-0.0244</v>
      </c>
      <c r="AI109" s="197">
        <v>724.25</v>
      </c>
      <c r="AJ109" s="196">
        <v>-0.2261</v>
      </c>
    </row>
    <row r="110" ht="15.75" customHeight="1">
      <c r="A110" s="177"/>
      <c r="B110" s="178" t="s">
        <v>387</v>
      </c>
      <c r="C110" s="188">
        <v>17604.35</v>
      </c>
      <c r="D110" s="189">
        <v>-0.0235</v>
      </c>
      <c r="F110" s="190">
        <v>202.35</v>
      </c>
      <c r="G110" s="189">
        <v>-0.0234</v>
      </c>
      <c r="Z110" s="198">
        <v>165.55</v>
      </c>
      <c r="AA110" s="196">
        <v>-0.0045</v>
      </c>
      <c r="AC110" s="190">
        <v>161.14</v>
      </c>
      <c r="AD110" s="189">
        <v>-0.0201</v>
      </c>
      <c r="AF110" s="197">
        <v>41.0</v>
      </c>
      <c r="AG110" s="196">
        <v>-0.0509</v>
      </c>
      <c r="AI110" s="197">
        <v>935.9</v>
      </c>
      <c r="AJ110" s="196">
        <v>-0.3703</v>
      </c>
    </row>
    <row r="111" ht="15.75" customHeight="1">
      <c r="A111" s="177"/>
      <c r="B111" s="178" t="s">
        <v>388</v>
      </c>
      <c r="C111" s="188">
        <v>18027.65</v>
      </c>
      <c r="D111" s="189">
        <v>0.004</v>
      </c>
      <c r="F111" s="190">
        <v>207.2</v>
      </c>
      <c r="G111" s="189">
        <v>0.0036</v>
      </c>
      <c r="Z111" s="198">
        <v>166.3</v>
      </c>
      <c r="AA111" s="196">
        <v>-0.0142</v>
      </c>
      <c r="AC111" s="190">
        <v>164.44</v>
      </c>
      <c r="AD111" s="189">
        <v>-0.0179</v>
      </c>
      <c r="AF111" s="197">
        <v>43.2</v>
      </c>
      <c r="AG111" s="196">
        <v>0.0141</v>
      </c>
      <c r="AI111" s="199">
        <v>1486.25</v>
      </c>
      <c r="AJ111" s="196">
        <v>-0.2477</v>
      </c>
    </row>
    <row r="112" ht="15.75" customHeight="1">
      <c r="A112" s="177"/>
      <c r="B112" s="178">
        <v>45139.0</v>
      </c>
      <c r="C112" s="188">
        <v>17956.6</v>
      </c>
      <c r="D112" s="189">
        <v>0.0054</v>
      </c>
      <c r="F112" s="190">
        <v>206.45</v>
      </c>
      <c r="G112" s="189">
        <v>0.0051</v>
      </c>
      <c r="Z112" s="198">
        <v>168.7</v>
      </c>
      <c r="AA112" s="196">
        <v>0.0054</v>
      </c>
      <c r="AC112" s="190">
        <v>167.44</v>
      </c>
      <c r="AD112" s="189">
        <v>0.0432</v>
      </c>
      <c r="AF112" s="197">
        <v>42.6</v>
      </c>
      <c r="AG112" s="196">
        <v>0.0965</v>
      </c>
      <c r="AI112" s="199">
        <v>1975.6</v>
      </c>
      <c r="AJ112" s="196">
        <v>0.0313</v>
      </c>
    </row>
    <row r="113" ht="15.75" customHeight="1">
      <c r="A113" s="177"/>
      <c r="B113" s="178">
        <v>44927.0</v>
      </c>
      <c r="C113" s="188">
        <v>17859.45</v>
      </c>
      <c r="D113" s="189">
        <v>-0.0136</v>
      </c>
      <c r="F113" s="190">
        <v>205.4</v>
      </c>
      <c r="G113" s="189">
        <v>-0.0111</v>
      </c>
      <c r="Z113" s="198">
        <v>167.8</v>
      </c>
      <c r="AA113" s="196">
        <v>-0.0071</v>
      </c>
      <c r="AC113" s="190">
        <v>160.5</v>
      </c>
      <c r="AD113" s="189">
        <v>0.0284</v>
      </c>
      <c r="AF113" s="197">
        <v>38.85</v>
      </c>
      <c r="AG113" s="196">
        <v>-0.0177</v>
      </c>
      <c r="AI113" s="199">
        <v>1915.65</v>
      </c>
      <c r="AJ113" s="196">
        <v>0.0421</v>
      </c>
    </row>
    <row r="114" ht="15.75" customHeight="1">
      <c r="A114" s="177"/>
      <c r="B114" s="178" t="s">
        <v>389</v>
      </c>
      <c r="C114" s="188">
        <v>18105.3</v>
      </c>
      <c r="D114" s="189">
        <v>0.0168</v>
      </c>
      <c r="F114" s="190">
        <v>207.7</v>
      </c>
      <c r="G114" s="189">
        <v>0.0549</v>
      </c>
      <c r="Z114" s="198">
        <v>169.0</v>
      </c>
      <c r="AA114" s="196">
        <v>0.0153</v>
      </c>
      <c r="AC114" s="190">
        <v>156.07</v>
      </c>
      <c r="AD114" s="189">
        <v>-0.0262</v>
      </c>
      <c r="AF114" s="197">
        <v>39.55</v>
      </c>
      <c r="AG114" s="196">
        <v>-0.005</v>
      </c>
      <c r="AI114" s="199">
        <v>1838.25</v>
      </c>
      <c r="AJ114" s="196">
        <v>-0.0484</v>
      </c>
    </row>
    <row r="115" ht="15.75" customHeight="1">
      <c r="A115" s="177"/>
      <c r="B115" s="178" t="s">
        <v>390</v>
      </c>
      <c r="C115" s="188">
        <v>17806.8</v>
      </c>
      <c r="D115" s="189">
        <v>-0.0253</v>
      </c>
      <c r="F115" s="190">
        <v>196.9</v>
      </c>
      <c r="G115" s="189">
        <v>-0.0941</v>
      </c>
      <c r="Z115" s="198">
        <v>166.45</v>
      </c>
      <c r="AA115" s="196">
        <v>0.0212</v>
      </c>
      <c r="AC115" s="190">
        <v>160.27</v>
      </c>
      <c r="AD115" s="189">
        <v>0.0116</v>
      </c>
      <c r="AF115" s="197">
        <v>39.75</v>
      </c>
      <c r="AG115" s="196">
        <v>0.0271</v>
      </c>
      <c r="AI115" s="199">
        <v>1931.8</v>
      </c>
      <c r="AJ115" s="196">
        <v>0.0679</v>
      </c>
    </row>
    <row r="116" ht="15.75" customHeight="1">
      <c r="A116" s="177"/>
      <c r="B116" s="178">
        <v>44877.0</v>
      </c>
      <c r="C116" s="188">
        <v>18269.0</v>
      </c>
      <c r="D116" s="189">
        <v>-0.0123</v>
      </c>
      <c r="F116" s="190">
        <v>217.35</v>
      </c>
      <c r="G116" s="189">
        <v>-0.0093</v>
      </c>
      <c r="Z116" s="198">
        <v>163.0</v>
      </c>
      <c r="AA116" s="196">
        <v>-0.04</v>
      </c>
      <c r="AC116" s="190">
        <v>158.44</v>
      </c>
      <c r="AD116" s="189">
        <v>-0.0091</v>
      </c>
      <c r="AF116" s="197">
        <v>38.7</v>
      </c>
      <c r="AG116" s="196">
        <v>-0.0561</v>
      </c>
      <c r="AI116" s="199">
        <v>1809.05</v>
      </c>
      <c r="AJ116" s="196">
        <v>-0.1151</v>
      </c>
    </row>
    <row r="117" ht="15.75" customHeight="1">
      <c r="A117" s="177"/>
      <c r="B117" s="178">
        <v>44663.0</v>
      </c>
      <c r="C117" s="188">
        <v>18496.6</v>
      </c>
      <c r="D117" s="189">
        <v>-0.0107</v>
      </c>
      <c r="F117" s="190">
        <v>219.4</v>
      </c>
      <c r="G117" s="189">
        <v>-0.026</v>
      </c>
      <c r="Z117" s="198">
        <v>169.8</v>
      </c>
      <c r="AA117" s="196">
        <v>0.0018</v>
      </c>
      <c r="AC117" s="190">
        <v>159.9</v>
      </c>
      <c r="AD117" s="189">
        <v>-0.0184</v>
      </c>
      <c r="AF117" s="197">
        <v>41.0</v>
      </c>
      <c r="AG117" s="196">
        <v>-0.0097</v>
      </c>
      <c r="AI117" s="199">
        <v>2044.25</v>
      </c>
      <c r="AJ117" s="196">
        <v>-0.0045</v>
      </c>
    </row>
    <row r="118" ht="15.75" customHeight="1">
      <c r="A118" s="177"/>
      <c r="B118" s="178" t="s">
        <v>391</v>
      </c>
      <c r="C118" s="188">
        <v>18696.1</v>
      </c>
      <c r="D118" s="189">
        <v>0.0099</v>
      </c>
      <c r="F118" s="190">
        <v>225.25</v>
      </c>
      <c r="G118" s="189">
        <v>0.0051</v>
      </c>
      <c r="Z118" s="198">
        <v>169.5</v>
      </c>
      <c r="AA118" s="196">
        <v>-0.0154</v>
      </c>
      <c r="AC118" s="190">
        <v>162.9</v>
      </c>
      <c r="AD118" s="189">
        <v>-0.0118</v>
      </c>
      <c r="AF118" s="197">
        <v>41.4</v>
      </c>
      <c r="AG118" s="196">
        <v>-0.0131</v>
      </c>
      <c r="AI118" s="199">
        <v>2053.45</v>
      </c>
      <c r="AJ118" s="196">
        <v>-0.0043</v>
      </c>
    </row>
    <row r="119" ht="15.75" customHeight="1">
      <c r="A119" s="177"/>
      <c r="B119" s="178" t="s">
        <v>392</v>
      </c>
      <c r="C119" s="188">
        <v>18512.75</v>
      </c>
      <c r="D119" s="189">
        <v>0.0112</v>
      </c>
      <c r="F119" s="190">
        <v>224.1</v>
      </c>
      <c r="G119" s="189">
        <v>0.0166</v>
      </c>
      <c r="Z119" s="198">
        <v>172.15</v>
      </c>
      <c r="AA119" s="196">
        <v>0.0141</v>
      </c>
      <c r="AC119" s="190">
        <v>164.85</v>
      </c>
      <c r="AD119" s="189">
        <v>-0.0036</v>
      </c>
      <c r="AF119" s="197">
        <v>41.95</v>
      </c>
      <c r="AG119" s="196">
        <v>-0.0433</v>
      </c>
      <c r="AI119" s="199">
        <v>2062.3</v>
      </c>
      <c r="AJ119" s="196">
        <v>0.0189</v>
      </c>
    </row>
    <row r="120" ht="15.75" customHeight="1">
      <c r="A120" s="177"/>
      <c r="B120" s="178" t="s">
        <v>393</v>
      </c>
      <c r="C120" s="188">
        <v>18307.65</v>
      </c>
      <c r="D120" s="189">
        <v>-0.0023</v>
      </c>
      <c r="F120" s="190">
        <v>220.45</v>
      </c>
      <c r="G120" s="189">
        <v>-0.0405</v>
      </c>
      <c r="Z120" s="198">
        <v>169.75</v>
      </c>
      <c r="AA120" s="196">
        <v>0.0235</v>
      </c>
      <c r="AC120" s="190">
        <v>165.45</v>
      </c>
      <c r="AD120" s="189">
        <v>0.0103</v>
      </c>
      <c r="AF120" s="197">
        <v>43.85</v>
      </c>
      <c r="AG120" s="196">
        <v>0.0428</v>
      </c>
      <c r="AI120" s="199">
        <v>2023.95</v>
      </c>
      <c r="AJ120" s="196">
        <v>-0.0295</v>
      </c>
    </row>
    <row r="121" ht="15.75" customHeight="1">
      <c r="A121" s="177"/>
      <c r="B121" s="178">
        <v>44723.0</v>
      </c>
      <c r="C121" s="188">
        <v>18349.7</v>
      </c>
      <c r="D121" s="189">
        <v>0.0128</v>
      </c>
      <c r="F121" s="190">
        <v>229.75</v>
      </c>
      <c r="G121" s="189">
        <v>0.0064</v>
      </c>
      <c r="Z121" s="198">
        <v>165.85</v>
      </c>
      <c r="AA121" s="196">
        <v>-0.0327</v>
      </c>
      <c r="AC121" s="190">
        <v>163.76</v>
      </c>
      <c r="AD121" s="189">
        <v>0.0201</v>
      </c>
      <c r="AF121" s="197">
        <v>42.05</v>
      </c>
      <c r="AG121" s="196">
        <v>-0.0624</v>
      </c>
      <c r="AI121" s="199">
        <v>2085.4</v>
      </c>
      <c r="AJ121" s="196">
        <v>-0.0507</v>
      </c>
    </row>
    <row r="122" ht="15.75" customHeight="1">
      <c r="A122" s="177"/>
      <c r="B122" s="178" t="s">
        <v>394</v>
      </c>
      <c r="C122" s="188">
        <v>18117.15</v>
      </c>
      <c r="D122" s="189">
        <v>0.0186</v>
      </c>
      <c r="F122" s="190">
        <v>228.3</v>
      </c>
      <c r="G122" s="189">
        <v>0.0144</v>
      </c>
      <c r="Z122" s="198">
        <v>171.45</v>
      </c>
      <c r="AA122" s="196">
        <v>-0.0311</v>
      </c>
      <c r="AC122" s="190">
        <v>160.54</v>
      </c>
      <c r="AD122" s="189">
        <v>-0.0535</v>
      </c>
      <c r="AF122" s="197">
        <v>44.85</v>
      </c>
      <c r="AG122" s="196">
        <v>0.024</v>
      </c>
      <c r="AI122" s="199">
        <v>2196.7</v>
      </c>
      <c r="AJ122" s="196">
        <v>0.0356</v>
      </c>
    </row>
    <row r="123" ht="15.75" customHeight="1">
      <c r="A123" s="177"/>
      <c r="B123" s="178" t="s">
        <v>395</v>
      </c>
      <c r="C123" s="188">
        <v>17786.8</v>
      </c>
      <c r="D123" s="189">
        <v>0.012</v>
      </c>
      <c r="F123" s="190">
        <v>225.05</v>
      </c>
      <c r="G123" s="189">
        <v>0.0295</v>
      </c>
      <c r="Z123" s="198">
        <v>176.95</v>
      </c>
      <c r="AA123" s="196">
        <v>0.0167</v>
      </c>
      <c r="AC123" s="190">
        <v>169.61</v>
      </c>
      <c r="AD123" s="189">
        <v>-0.0029</v>
      </c>
      <c r="AF123" s="197">
        <v>43.8</v>
      </c>
      <c r="AG123" s="196">
        <v>0.0023</v>
      </c>
      <c r="AI123" s="199">
        <v>2121.25</v>
      </c>
      <c r="AJ123" s="196">
        <v>0.0108</v>
      </c>
    </row>
    <row r="124" ht="15.75" customHeight="1">
      <c r="A124" s="177"/>
      <c r="B124" s="178" t="s">
        <v>396</v>
      </c>
      <c r="C124" s="188">
        <v>17576.3</v>
      </c>
      <c r="D124" s="189">
        <v>0.0227</v>
      </c>
      <c r="F124" s="190">
        <v>218.6</v>
      </c>
      <c r="G124" s="189">
        <v>0.0125</v>
      </c>
      <c r="Z124" s="198">
        <v>174.05</v>
      </c>
      <c r="AA124" s="196">
        <v>0.0545</v>
      </c>
      <c r="AC124" s="190">
        <v>170.1</v>
      </c>
      <c r="AD124" s="189">
        <v>0.0437</v>
      </c>
      <c r="AF124" s="197">
        <v>43.7</v>
      </c>
      <c r="AG124" s="196">
        <v>0.053</v>
      </c>
      <c r="AI124" s="199">
        <v>2098.55</v>
      </c>
      <c r="AJ124" s="196">
        <v>-0.0032</v>
      </c>
    </row>
    <row r="125" ht="15.75" customHeight="1">
      <c r="A125" s="177"/>
      <c r="B125" s="178">
        <v>44814.0</v>
      </c>
      <c r="C125" s="188">
        <v>17185.7</v>
      </c>
      <c r="D125" s="189">
        <v>-0.0074</v>
      </c>
      <c r="F125" s="190">
        <v>215.9</v>
      </c>
      <c r="G125" s="189">
        <v>-0.0297</v>
      </c>
      <c r="Z125" s="198">
        <v>165.05</v>
      </c>
      <c r="AA125" s="196">
        <v>-3.0E-4</v>
      </c>
      <c r="AC125" s="190">
        <v>162.98</v>
      </c>
      <c r="AD125" s="189">
        <v>0.0219</v>
      </c>
      <c r="AF125" s="197">
        <v>41.5</v>
      </c>
      <c r="AG125" s="196">
        <v>0.095</v>
      </c>
      <c r="AI125" s="199">
        <v>2105.3</v>
      </c>
      <c r="AJ125" s="196">
        <v>0.0355</v>
      </c>
    </row>
    <row r="126" ht="15.75" customHeight="1">
      <c r="A126" s="177"/>
      <c r="B126" s="178">
        <v>44602.0</v>
      </c>
      <c r="C126" s="188">
        <v>17314.65</v>
      </c>
      <c r="D126" s="189">
        <v>0.0129</v>
      </c>
      <c r="F126" s="190">
        <v>222.5</v>
      </c>
      <c r="G126" s="189">
        <v>0.0277</v>
      </c>
      <c r="Z126" s="198">
        <v>165.1</v>
      </c>
      <c r="AA126" s="196">
        <v>0.0049</v>
      </c>
      <c r="AC126" s="190">
        <v>159.49</v>
      </c>
      <c r="AD126" s="189">
        <v>0.0155</v>
      </c>
      <c r="AF126" s="197">
        <v>37.9</v>
      </c>
      <c r="AG126" s="196">
        <v>0.0</v>
      </c>
      <c r="AI126" s="199">
        <v>2033.15</v>
      </c>
      <c r="AJ126" s="196">
        <v>-0.0776</v>
      </c>
    </row>
    <row r="127" ht="15.75" customHeight="1">
      <c r="A127" s="177"/>
      <c r="B127" s="178" t="s">
        <v>397</v>
      </c>
      <c r="C127" s="188">
        <v>17094.35</v>
      </c>
      <c r="D127" s="189">
        <v>-0.0134</v>
      </c>
      <c r="F127" s="190">
        <v>216.5</v>
      </c>
      <c r="G127" s="189">
        <v>-0.0356</v>
      </c>
      <c r="Z127" s="198">
        <v>164.3</v>
      </c>
      <c r="AA127" s="196">
        <v>0.0291</v>
      </c>
      <c r="AC127" s="190">
        <v>157.05</v>
      </c>
      <c r="AD127" s="189">
        <v>-0.0132</v>
      </c>
      <c r="AF127" s="197">
        <v>37.9</v>
      </c>
      <c r="AG127" s="196">
        <v>0.0616</v>
      </c>
      <c r="AI127" s="199">
        <v>2204.15</v>
      </c>
      <c r="AJ127" s="196">
        <v>-0.0251</v>
      </c>
    </row>
    <row r="128" ht="15.75" customHeight="1">
      <c r="A128" s="177"/>
      <c r="B128" s="178" t="s">
        <v>398</v>
      </c>
      <c r="C128" s="188">
        <v>17327.35</v>
      </c>
      <c r="D128" s="189">
        <v>-0.0116</v>
      </c>
      <c r="F128" s="190">
        <v>224.5</v>
      </c>
      <c r="G128" s="189">
        <v>-0.0499</v>
      </c>
      <c r="Z128" s="198">
        <v>159.65</v>
      </c>
      <c r="AA128" s="196">
        <v>-0.0262</v>
      </c>
      <c r="AC128" s="190">
        <v>159.15</v>
      </c>
      <c r="AD128" s="189">
        <v>0.0476</v>
      </c>
      <c r="AF128" s="197">
        <v>35.7</v>
      </c>
      <c r="AG128" s="196">
        <v>-0.0727</v>
      </c>
      <c r="AI128" s="199">
        <v>2260.8</v>
      </c>
      <c r="AJ128" s="196">
        <v>-0.0271</v>
      </c>
    </row>
    <row r="129" ht="15.75" customHeight="1">
      <c r="A129" s="177"/>
      <c r="B129" s="178">
        <v>44874.0</v>
      </c>
      <c r="C129" s="188">
        <v>17530.85</v>
      </c>
      <c r="D129" s="189">
        <v>-0.017</v>
      </c>
      <c r="F129" s="190">
        <v>236.3</v>
      </c>
      <c r="G129" s="189">
        <v>-0.025</v>
      </c>
      <c r="Z129" s="198">
        <v>163.95</v>
      </c>
      <c r="AA129" s="196">
        <v>-0.0512</v>
      </c>
      <c r="AC129" s="190">
        <v>151.91</v>
      </c>
      <c r="AD129" s="189">
        <v>-0.1405</v>
      </c>
      <c r="AF129" s="197">
        <v>38.5</v>
      </c>
      <c r="AG129" s="196">
        <v>-0.0039</v>
      </c>
      <c r="AI129" s="199">
        <v>2323.85</v>
      </c>
      <c r="AJ129" s="196">
        <v>0.0031</v>
      </c>
    </row>
    <row r="130" ht="15.75" customHeight="1">
      <c r="A130" s="177"/>
      <c r="B130" s="178">
        <v>44660.0</v>
      </c>
      <c r="C130" s="188">
        <v>17833.35</v>
      </c>
      <c r="D130" s="189">
        <v>0.0168</v>
      </c>
      <c r="F130" s="190">
        <v>242.35</v>
      </c>
      <c r="G130" s="189">
        <v>0.0304</v>
      </c>
      <c r="Z130" s="198">
        <v>172.8</v>
      </c>
      <c r="AA130" s="196">
        <v>0.0372</v>
      </c>
      <c r="AC130" s="190">
        <v>176.74</v>
      </c>
      <c r="AD130" s="189">
        <v>0.0572</v>
      </c>
      <c r="AF130" s="197">
        <v>38.65</v>
      </c>
      <c r="AG130" s="196">
        <v>0.0531</v>
      </c>
      <c r="AI130" s="199">
        <v>2316.6</v>
      </c>
      <c r="AJ130" s="196">
        <v>3.0E-4</v>
      </c>
    </row>
    <row r="131" ht="15.75" customHeight="1">
      <c r="A131" s="177"/>
      <c r="B131" s="178" t="s">
        <v>399</v>
      </c>
      <c r="C131" s="188">
        <v>17539.45</v>
      </c>
      <c r="D131" s="189">
        <v>-0.0011</v>
      </c>
      <c r="F131" s="190">
        <v>235.2</v>
      </c>
      <c r="G131" s="189">
        <v>4.0E-4</v>
      </c>
      <c r="Z131" s="198">
        <v>166.6</v>
      </c>
      <c r="AA131" s="196">
        <v>0.0297</v>
      </c>
      <c r="AC131" s="190">
        <v>167.18</v>
      </c>
      <c r="AD131" s="189">
        <v>-0.0058</v>
      </c>
      <c r="AF131" s="197">
        <v>36.7</v>
      </c>
      <c r="AG131" s="196">
        <v>-0.0553</v>
      </c>
      <c r="AI131" s="199">
        <v>2315.9</v>
      </c>
      <c r="AJ131" s="196">
        <v>-0.0282</v>
      </c>
    </row>
    <row r="132" ht="15.75" customHeight="1">
      <c r="A132" s="177"/>
      <c r="B132" s="178" t="s">
        <v>400</v>
      </c>
      <c r="C132" s="188">
        <v>17558.9</v>
      </c>
      <c r="D132" s="189">
        <v>-0.0112</v>
      </c>
      <c r="F132" s="190">
        <v>235.1</v>
      </c>
      <c r="G132" s="189">
        <v>0.0105</v>
      </c>
      <c r="Z132" s="198">
        <v>161.8</v>
      </c>
      <c r="AA132" s="196">
        <v>-0.0098</v>
      </c>
      <c r="AC132" s="190">
        <v>168.15</v>
      </c>
      <c r="AD132" s="189">
        <v>-0.0271</v>
      </c>
      <c r="AF132" s="197">
        <v>38.85</v>
      </c>
      <c r="AG132" s="196">
        <v>0.0928</v>
      </c>
      <c r="AI132" s="199">
        <v>2383.1</v>
      </c>
      <c r="AJ132" s="196">
        <v>-0.004</v>
      </c>
    </row>
    <row r="133" ht="15.75" customHeight="1">
      <c r="A133" s="177"/>
      <c r="B133" s="178" t="s">
        <v>401</v>
      </c>
      <c r="C133" s="188">
        <v>17758.45</v>
      </c>
      <c r="D133" s="189">
        <v>0.0034</v>
      </c>
      <c r="F133" s="190">
        <v>232.65</v>
      </c>
      <c r="G133" s="189">
        <v>0.0011</v>
      </c>
      <c r="Z133" s="198">
        <v>163.4</v>
      </c>
      <c r="AA133" s="196">
        <v>0.0358</v>
      </c>
      <c r="AC133" s="190">
        <v>172.84</v>
      </c>
      <c r="AD133" s="189">
        <v>0.0101</v>
      </c>
      <c r="AF133" s="197">
        <v>35.55</v>
      </c>
      <c r="AG133" s="196">
        <v>0.0186</v>
      </c>
      <c r="AI133" s="199">
        <v>2392.75</v>
      </c>
      <c r="AJ133" s="196">
        <v>-0.0077</v>
      </c>
    </row>
    <row r="134" ht="15.75" customHeight="1">
      <c r="A134" s="177"/>
      <c r="B134" s="178">
        <v>44750.0</v>
      </c>
      <c r="C134" s="188">
        <v>17698.15</v>
      </c>
      <c r="D134" s="189">
        <v>0.0173</v>
      </c>
      <c r="F134" s="190">
        <v>232.4</v>
      </c>
      <c r="G134" s="189">
        <v>0.0013</v>
      </c>
      <c r="Z134" s="198">
        <v>157.75</v>
      </c>
      <c r="AA134" s="196">
        <v>-0.0047</v>
      </c>
      <c r="AC134" s="190">
        <v>171.11</v>
      </c>
      <c r="AD134" s="189">
        <v>4.0E-4</v>
      </c>
      <c r="AF134" s="197">
        <v>34.9</v>
      </c>
      <c r="AG134" s="196">
        <v>0.0265</v>
      </c>
      <c r="AI134" s="199">
        <v>2411.35</v>
      </c>
      <c r="AJ134" s="196">
        <v>0.1082</v>
      </c>
    </row>
    <row r="135" ht="15.75" customHeight="1">
      <c r="A135" s="177"/>
      <c r="B135" s="178" t="s">
        <v>402</v>
      </c>
      <c r="C135" s="188">
        <v>17397.5</v>
      </c>
      <c r="D135" s="189">
        <v>0.0139</v>
      </c>
      <c r="F135" s="190">
        <v>232.1</v>
      </c>
      <c r="G135" s="189">
        <v>0.046</v>
      </c>
      <c r="Z135" s="198">
        <v>158.5</v>
      </c>
      <c r="AA135" s="196">
        <v>0.0186</v>
      </c>
      <c r="AC135" s="190">
        <v>171.04</v>
      </c>
      <c r="AD135" s="189">
        <v>0.0197</v>
      </c>
      <c r="AF135" s="197">
        <v>34.0</v>
      </c>
      <c r="AG135" s="196">
        <v>-0.0529</v>
      </c>
      <c r="AI135" s="199">
        <v>2176.0</v>
      </c>
      <c r="AJ135" s="196">
        <v>0.0331</v>
      </c>
    </row>
    <row r="136" ht="15.75" customHeight="1">
      <c r="A136" s="177"/>
      <c r="B136" s="178" t="s">
        <v>403</v>
      </c>
      <c r="C136" s="188">
        <v>17158.25</v>
      </c>
      <c r="D136" s="189">
        <v>0.0262</v>
      </c>
      <c r="F136" s="190">
        <v>221.9</v>
      </c>
      <c r="G136" s="189">
        <v>-0.0388</v>
      </c>
      <c r="Z136" s="198">
        <v>155.6</v>
      </c>
      <c r="AA136" s="196">
        <v>0.0173</v>
      </c>
      <c r="AC136" s="190">
        <v>167.74</v>
      </c>
      <c r="AD136" s="189">
        <v>0.0453</v>
      </c>
      <c r="AF136" s="197">
        <v>35.9</v>
      </c>
      <c r="AG136" s="196">
        <v>0.0512</v>
      </c>
      <c r="AI136" s="199">
        <v>2106.2</v>
      </c>
      <c r="AJ136" s="196">
        <v>-0.0315</v>
      </c>
    </row>
    <row r="137" ht="15.75" customHeight="1">
      <c r="A137" s="177"/>
      <c r="B137" s="178" t="s">
        <v>404</v>
      </c>
      <c r="C137" s="188">
        <v>16719.45</v>
      </c>
      <c r="D137" s="189">
        <v>0.0418</v>
      </c>
      <c r="F137" s="190">
        <v>230.85</v>
      </c>
      <c r="G137" s="189">
        <v>0.026</v>
      </c>
      <c r="Z137" s="198">
        <v>152.95</v>
      </c>
      <c r="AA137" s="196">
        <v>0.0269</v>
      </c>
      <c r="AC137" s="190">
        <v>160.46</v>
      </c>
      <c r="AD137" s="189">
        <v>0.0188</v>
      </c>
      <c r="AF137" s="197">
        <v>34.15</v>
      </c>
      <c r="AG137" s="196">
        <v>0.0286</v>
      </c>
      <c r="AI137" s="199">
        <v>2174.7</v>
      </c>
      <c r="AJ137" s="196">
        <v>0.0256</v>
      </c>
    </row>
    <row r="138" ht="15.75" customHeight="1">
      <c r="A138" s="177"/>
      <c r="B138" s="178">
        <v>44841.0</v>
      </c>
      <c r="C138" s="188">
        <v>16049.2</v>
      </c>
      <c r="D138" s="189">
        <v>-0.0106</v>
      </c>
      <c r="F138" s="190">
        <v>225.0</v>
      </c>
      <c r="G138" s="189">
        <v>0.0225</v>
      </c>
      <c r="Z138" s="198">
        <v>148.95</v>
      </c>
      <c r="AA138" s="196">
        <v>-0.0053</v>
      </c>
      <c r="AC138" s="190">
        <v>157.5</v>
      </c>
      <c r="AD138" s="189">
        <v>0.0033</v>
      </c>
      <c r="AF138" s="197">
        <v>33.2</v>
      </c>
      <c r="AG138" s="196">
        <v>-0.0405</v>
      </c>
      <c r="AI138" s="199">
        <v>2120.45</v>
      </c>
      <c r="AJ138" s="196">
        <v>0.0231</v>
      </c>
    </row>
    <row r="139" ht="15.75" customHeight="1">
      <c r="A139" s="177"/>
      <c r="B139" s="178">
        <v>44627.0</v>
      </c>
      <c r="C139" s="188">
        <v>16220.6</v>
      </c>
      <c r="D139" s="189">
        <v>0.0297</v>
      </c>
      <c r="F139" s="190">
        <v>220.05</v>
      </c>
      <c r="G139" s="189">
        <v>0.063</v>
      </c>
      <c r="Z139" s="198">
        <v>149.75</v>
      </c>
      <c r="AA139" s="196">
        <v>0.0421</v>
      </c>
      <c r="AC139" s="190">
        <v>156.98</v>
      </c>
      <c r="AD139" s="189">
        <v>-0.0434</v>
      </c>
      <c r="AF139" s="197">
        <v>34.6</v>
      </c>
      <c r="AG139" s="196">
        <v>0.0712</v>
      </c>
      <c r="AI139" s="199">
        <v>2072.65</v>
      </c>
      <c r="AJ139" s="196">
        <v>0.0789</v>
      </c>
    </row>
    <row r="140" ht="15.75" customHeight="1">
      <c r="A140" s="177"/>
      <c r="B140" s="178" t="s">
        <v>405</v>
      </c>
      <c r="C140" s="188">
        <v>15752.05</v>
      </c>
      <c r="D140" s="189">
        <v>0.0034</v>
      </c>
      <c r="F140" s="190">
        <v>207.0</v>
      </c>
      <c r="G140" s="189">
        <v>-0.0043</v>
      </c>
      <c r="Z140" s="198">
        <v>143.7</v>
      </c>
      <c r="AA140" s="196">
        <v>0.0217</v>
      </c>
      <c r="AC140" s="190">
        <v>164.1</v>
      </c>
      <c r="AD140" s="189">
        <v>0.0596</v>
      </c>
      <c r="AF140" s="197">
        <v>32.3</v>
      </c>
      <c r="AG140" s="196">
        <v>0.047</v>
      </c>
      <c r="AI140" s="199">
        <v>1921.0</v>
      </c>
      <c r="AJ140" s="196">
        <v>-0.0217</v>
      </c>
    </row>
    <row r="141" ht="15.75" customHeight="1">
      <c r="A141" s="177"/>
      <c r="B141" s="178" t="s">
        <v>406</v>
      </c>
      <c r="C141" s="188">
        <v>15699.25</v>
      </c>
      <c r="D141" s="189">
        <v>0.0265</v>
      </c>
      <c r="F141" s="190">
        <v>207.9</v>
      </c>
      <c r="G141" s="189">
        <v>-0.0114</v>
      </c>
      <c r="Z141" s="198">
        <v>140.65</v>
      </c>
      <c r="AA141" s="196">
        <v>0.0296</v>
      </c>
      <c r="AC141" s="190">
        <v>154.88</v>
      </c>
      <c r="AD141" s="189">
        <v>-0.0117</v>
      </c>
      <c r="AF141" s="197">
        <v>30.85</v>
      </c>
      <c r="AG141" s="196">
        <v>-0.0064</v>
      </c>
      <c r="AI141" s="199">
        <v>1963.65</v>
      </c>
      <c r="AJ141" s="196">
        <v>0.0571</v>
      </c>
    </row>
    <row r="142" ht="15.75" customHeight="1">
      <c r="A142" s="177"/>
      <c r="B142" s="178">
        <v>44901.0</v>
      </c>
      <c r="C142" s="188">
        <v>15293.5</v>
      </c>
      <c r="D142" s="189">
        <v>-0.0561</v>
      </c>
      <c r="F142" s="190">
        <v>210.3</v>
      </c>
      <c r="G142" s="189">
        <v>-0.0866</v>
      </c>
      <c r="Z142" s="198">
        <v>136.6</v>
      </c>
      <c r="AA142" s="196">
        <v>-0.0274</v>
      </c>
      <c r="AC142" s="190">
        <v>156.71</v>
      </c>
      <c r="AD142" s="189">
        <v>-0.0114</v>
      </c>
      <c r="AF142" s="197">
        <v>31.05</v>
      </c>
      <c r="AG142" s="196">
        <v>0.0299</v>
      </c>
      <c r="AI142" s="199">
        <v>1857.6</v>
      </c>
      <c r="AJ142" s="196">
        <v>0.0855</v>
      </c>
    </row>
    <row r="143" ht="15.75" customHeight="1">
      <c r="A143" s="177"/>
      <c r="B143" s="178">
        <v>44687.0</v>
      </c>
      <c r="C143" s="188">
        <v>16201.8</v>
      </c>
      <c r="D143" s="189">
        <v>-0.0231</v>
      </c>
      <c r="F143" s="190">
        <v>230.25</v>
      </c>
      <c r="G143" s="189">
        <v>-0.0035</v>
      </c>
      <c r="Z143" s="198">
        <v>140.45</v>
      </c>
      <c r="AA143" s="196">
        <v>-0.0953</v>
      </c>
      <c r="AC143" s="190">
        <v>158.51</v>
      </c>
      <c r="AD143" s="189">
        <v>-0.0584</v>
      </c>
      <c r="AF143" s="197">
        <v>30.15</v>
      </c>
      <c r="AG143" s="196">
        <v>-0.0836</v>
      </c>
      <c r="AI143" s="199">
        <v>1711.25</v>
      </c>
      <c r="AJ143" s="196">
        <v>-0.0264</v>
      </c>
    </row>
    <row r="144" ht="15.75" customHeight="1">
      <c r="A144" s="177"/>
      <c r="B144" s="178" t="s">
        <v>407</v>
      </c>
      <c r="C144" s="188">
        <v>16584.3</v>
      </c>
      <c r="D144" s="189">
        <v>0.0142</v>
      </c>
      <c r="F144" s="190">
        <v>231.05</v>
      </c>
      <c r="G144" s="189">
        <v>0.0285</v>
      </c>
      <c r="Z144" s="198">
        <v>155.25</v>
      </c>
      <c r="AA144" s="196">
        <v>0.0016</v>
      </c>
      <c r="AC144" s="190">
        <v>168.34</v>
      </c>
      <c r="AD144" s="189">
        <v>-0.0069</v>
      </c>
      <c r="AF144" s="197">
        <v>32.9</v>
      </c>
      <c r="AG144" s="196">
        <v>0.0108</v>
      </c>
      <c r="AI144" s="199">
        <v>1757.6</v>
      </c>
      <c r="AJ144" s="196">
        <v>-0.053</v>
      </c>
    </row>
    <row r="145" ht="15.75" customHeight="1">
      <c r="A145" s="177"/>
      <c r="B145" s="178" t="s">
        <v>408</v>
      </c>
      <c r="C145" s="188">
        <v>16352.45</v>
      </c>
      <c r="D145" s="189">
        <v>0.0053</v>
      </c>
      <c r="F145" s="190">
        <v>224.65</v>
      </c>
      <c r="G145" s="189">
        <v>-0.0369</v>
      </c>
      <c r="Z145" s="198">
        <v>155.0</v>
      </c>
      <c r="AA145" s="196">
        <v>0.0302</v>
      </c>
      <c r="AC145" s="190">
        <v>169.5</v>
      </c>
      <c r="AD145" s="189">
        <v>0.0058</v>
      </c>
      <c r="AF145" s="197">
        <v>32.55</v>
      </c>
      <c r="AG145" s="196">
        <v>-0.0211</v>
      </c>
      <c r="AI145" s="199">
        <v>1855.9</v>
      </c>
      <c r="AJ145" s="196">
        <v>-0.1433</v>
      </c>
    </row>
    <row r="146" ht="15.75" customHeight="1">
      <c r="A146" s="177"/>
      <c r="B146" s="178" t="s">
        <v>409</v>
      </c>
      <c r="C146" s="188">
        <v>16266.15</v>
      </c>
      <c r="D146" s="189">
        <v>0.0307</v>
      </c>
      <c r="F146" s="190">
        <v>233.25</v>
      </c>
      <c r="G146" s="189">
        <v>0.0469</v>
      </c>
      <c r="Z146" s="198">
        <v>150.45</v>
      </c>
      <c r="AA146" s="196">
        <v>0.0057</v>
      </c>
      <c r="AC146" s="190">
        <v>168.52</v>
      </c>
      <c r="AD146" s="189">
        <v>-0.019</v>
      </c>
      <c r="AF146" s="197">
        <v>33.25</v>
      </c>
      <c r="AG146" s="196">
        <v>0.0391</v>
      </c>
      <c r="AI146" s="199">
        <v>2166.45</v>
      </c>
      <c r="AJ146" s="196">
        <v>-0.0471</v>
      </c>
    </row>
    <row r="147" ht="15.75" customHeight="1">
      <c r="A147" s="177"/>
      <c r="B147" s="178">
        <v>44778.0</v>
      </c>
      <c r="C147" s="188">
        <v>15782.15</v>
      </c>
      <c r="D147" s="189">
        <v>-0.0383</v>
      </c>
      <c r="F147" s="190">
        <v>222.8</v>
      </c>
      <c r="G147" s="189">
        <v>-0.0914</v>
      </c>
      <c r="Z147" s="198">
        <v>149.6</v>
      </c>
      <c r="AA147" s="196">
        <v>0.0378</v>
      </c>
      <c r="AC147" s="190">
        <v>171.79</v>
      </c>
      <c r="AD147" s="189">
        <v>-0.0307</v>
      </c>
      <c r="AF147" s="197">
        <v>32.0</v>
      </c>
      <c r="AG147" s="196">
        <v>0.0273</v>
      </c>
      <c r="AI147" s="199">
        <v>2273.65</v>
      </c>
      <c r="AJ147" s="196">
        <v>0.047</v>
      </c>
    </row>
    <row r="148" ht="15.75" customHeight="1">
      <c r="A148" s="177"/>
      <c r="B148" s="178">
        <v>44566.0</v>
      </c>
      <c r="C148" s="188">
        <v>16411.25</v>
      </c>
      <c r="D148" s="189">
        <v>-0.0404</v>
      </c>
      <c r="F148" s="190">
        <v>245.2</v>
      </c>
      <c r="G148" s="189">
        <v>0.0118</v>
      </c>
      <c r="Z148" s="198">
        <v>144.15</v>
      </c>
      <c r="AA148" s="196">
        <v>-0.0934</v>
      </c>
      <c r="AC148" s="190">
        <v>177.23</v>
      </c>
      <c r="AD148" s="189">
        <v>-0.0088</v>
      </c>
      <c r="AF148" s="197">
        <v>31.15</v>
      </c>
      <c r="AG148" s="196">
        <v>-0.077</v>
      </c>
      <c r="AI148" s="199">
        <v>2171.55</v>
      </c>
      <c r="AJ148" s="196">
        <v>-0.2446</v>
      </c>
    </row>
    <row r="149" ht="15.75" customHeight="1">
      <c r="A149" s="177"/>
      <c r="B149" s="178" t="s">
        <v>410</v>
      </c>
      <c r="C149" s="188">
        <v>17102.55</v>
      </c>
      <c r="D149" s="189">
        <v>-0.004</v>
      </c>
      <c r="F149" s="190">
        <v>242.35</v>
      </c>
      <c r="G149" s="189">
        <v>-0.0425</v>
      </c>
      <c r="Z149" s="198">
        <v>159.0</v>
      </c>
      <c r="AA149" s="196">
        <v>0.0179</v>
      </c>
      <c r="AC149" s="190">
        <v>178.8</v>
      </c>
      <c r="AD149" s="189">
        <v>0.0468</v>
      </c>
      <c r="AF149" s="197">
        <v>33.75</v>
      </c>
      <c r="AG149" s="196">
        <v>0.0166</v>
      </c>
      <c r="AI149" s="199">
        <v>2874.8</v>
      </c>
      <c r="AJ149" s="196">
        <v>-0.0028</v>
      </c>
    </row>
    <row r="150" ht="15.75" customHeight="1">
      <c r="A150" s="177"/>
      <c r="B150" s="178" t="s">
        <v>411</v>
      </c>
      <c r="C150" s="188">
        <v>17171.95</v>
      </c>
      <c r="D150" s="189">
        <v>-0.0174</v>
      </c>
      <c r="F150" s="190">
        <v>253.1</v>
      </c>
      <c r="G150" s="189">
        <v>-0.0732</v>
      </c>
      <c r="Z150" s="198">
        <v>156.2</v>
      </c>
      <c r="AA150" s="196">
        <v>-0.0265</v>
      </c>
      <c r="AC150" s="190">
        <v>170.81</v>
      </c>
      <c r="AD150" s="189">
        <v>0.0102</v>
      </c>
      <c r="AF150" s="197">
        <v>33.2</v>
      </c>
      <c r="AG150" s="196">
        <v>-0.0661</v>
      </c>
      <c r="AI150" s="199">
        <v>2882.8</v>
      </c>
      <c r="AJ150" s="196">
        <v>0.0</v>
      </c>
    </row>
    <row r="151" ht="15.75" customHeight="1">
      <c r="A151" s="177"/>
      <c r="B151" s="178">
        <v>44838.0</v>
      </c>
      <c r="C151" s="188">
        <v>17475.65</v>
      </c>
      <c r="D151" s="189">
        <v>-0.0174</v>
      </c>
      <c r="F151" s="190">
        <v>273.1</v>
      </c>
      <c r="G151" s="189">
        <v>-0.018</v>
      </c>
      <c r="Z151" s="198">
        <v>160.45</v>
      </c>
      <c r="AA151" s="196">
        <v>0.0422</v>
      </c>
      <c r="AC151" s="190">
        <v>169.09</v>
      </c>
      <c r="AD151" s="189">
        <v>-0.0176</v>
      </c>
      <c r="AF151" s="197">
        <v>35.55</v>
      </c>
      <c r="AG151" s="196">
        <v>0.1268</v>
      </c>
      <c r="AI151" s="199">
        <v>2882.8</v>
      </c>
      <c r="AJ151" s="196">
        <v>0.0065</v>
      </c>
    </row>
    <row r="152" ht="15.75" customHeight="1">
      <c r="A152" s="177"/>
      <c r="B152" s="178">
        <v>44624.0</v>
      </c>
      <c r="C152" s="188">
        <v>17784.35</v>
      </c>
      <c r="D152" s="189">
        <v>0.0064</v>
      </c>
      <c r="F152" s="190">
        <v>278.1</v>
      </c>
      <c r="G152" s="189">
        <v>0.133</v>
      </c>
      <c r="Z152" s="198">
        <v>153.95</v>
      </c>
      <c r="AA152" s="196">
        <v>0.0125</v>
      </c>
      <c r="AC152" s="190">
        <v>172.13</v>
      </c>
      <c r="AD152" s="189">
        <v>-0.0133</v>
      </c>
      <c r="AF152" s="197">
        <v>31.55</v>
      </c>
      <c r="AG152" s="196">
        <v>0.0327</v>
      </c>
      <c r="AI152" s="199">
        <v>2864.3</v>
      </c>
      <c r="AJ152" s="196">
        <v>0.2336</v>
      </c>
    </row>
    <row r="153" ht="15.75" customHeight="1">
      <c r="A153" s="177"/>
      <c r="B153" s="178" t="s">
        <v>412</v>
      </c>
      <c r="C153" s="188">
        <v>17670.45</v>
      </c>
      <c r="D153" s="189">
        <v>0.0302</v>
      </c>
      <c r="F153" s="190">
        <v>245.45</v>
      </c>
      <c r="G153" s="189">
        <v>0.017</v>
      </c>
      <c r="Z153" s="198">
        <v>152.05</v>
      </c>
      <c r="AA153" s="196">
        <v>0.0637</v>
      </c>
      <c r="AC153" s="190">
        <v>174.45</v>
      </c>
      <c r="AD153" s="189">
        <v>0.0335</v>
      </c>
      <c r="AF153" s="197">
        <v>30.55</v>
      </c>
      <c r="AG153" s="196">
        <v>0.0969</v>
      </c>
      <c r="AI153" s="199">
        <v>2321.85</v>
      </c>
      <c r="AJ153" s="196">
        <v>0.1937</v>
      </c>
    </row>
    <row r="154" ht="15.75" customHeight="1">
      <c r="A154" s="177"/>
      <c r="B154" s="178" t="s">
        <v>413</v>
      </c>
      <c r="C154" s="188">
        <v>17153.0</v>
      </c>
      <c r="D154" s="189">
        <v>-0.0078</v>
      </c>
      <c r="F154" s="190">
        <v>241.35</v>
      </c>
      <c r="G154" s="189">
        <v>0.0414</v>
      </c>
      <c r="Z154" s="198">
        <v>142.95</v>
      </c>
      <c r="AA154" s="196">
        <v>0.0609</v>
      </c>
      <c r="AC154" s="190">
        <v>168.79</v>
      </c>
      <c r="AD154" s="189">
        <v>0.0735</v>
      </c>
      <c r="AF154" s="197">
        <v>27.85</v>
      </c>
      <c r="AG154" s="196">
        <v>0.022</v>
      </c>
      <c r="AI154" s="199">
        <v>1945.1</v>
      </c>
      <c r="AJ154" s="196">
        <v>0.0124</v>
      </c>
    </row>
    <row r="155" ht="15.75" customHeight="1">
      <c r="A155" s="177"/>
      <c r="B155" s="178" t="s">
        <v>414</v>
      </c>
      <c r="C155" s="188">
        <v>17287.05</v>
      </c>
      <c r="D155" s="189">
        <v>0.0395</v>
      </c>
      <c r="F155" s="190">
        <v>231.75</v>
      </c>
      <c r="G155" s="189">
        <v>-0.006</v>
      </c>
      <c r="Z155" s="198">
        <v>134.75</v>
      </c>
      <c r="AA155" s="196">
        <v>0.0139</v>
      </c>
      <c r="AC155" s="190">
        <v>157.24</v>
      </c>
      <c r="AD155" s="189">
        <v>-0.009</v>
      </c>
      <c r="AF155" s="197">
        <v>27.25</v>
      </c>
      <c r="AG155" s="196">
        <v>-0.0285</v>
      </c>
      <c r="AI155" s="199">
        <v>1921.25</v>
      </c>
      <c r="AJ155" s="196">
        <v>0.0105</v>
      </c>
    </row>
    <row r="156" ht="15.75" customHeight="1">
      <c r="A156" s="177"/>
      <c r="B156" s="178">
        <v>44715.0</v>
      </c>
      <c r="C156" s="188">
        <v>16630.45</v>
      </c>
      <c r="D156" s="189">
        <v>0.0237</v>
      </c>
      <c r="F156" s="190">
        <v>233.15</v>
      </c>
      <c r="G156" s="189">
        <v>0.0528</v>
      </c>
      <c r="Z156" s="198">
        <v>132.9</v>
      </c>
      <c r="AA156" s="196">
        <v>0.0072</v>
      </c>
      <c r="AC156" s="190">
        <v>158.66</v>
      </c>
      <c r="AD156" s="189">
        <v>-0.0042</v>
      </c>
      <c r="AF156" s="197">
        <v>28.05</v>
      </c>
      <c r="AG156" s="196">
        <v>-0.0141</v>
      </c>
      <c r="AI156" s="199">
        <v>1901.2</v>
      </c>
      <c r="AJ156" s="196">
        <v>0.0221</v>
      </c>
    </row>
    <row r="157" ht="15.75" customHeight="1">
      <c r="A157" s="177"/>
      <c r="B157" s="178" t="s">
        <v>415</v>
      </c>
      <c r="C157" s="188">
        <v>16245.35</v>
      </c>
      <c r="D157" s="189">
        <v>-0.0248</v>
      </c>
      <c r="F157" s="190">
        <v>221.45</v>
      </c>
      <c r="G157" s="189">
        <v>0.0066</v>
      </c>
      <c r="Z157" s="198">
        <v>131.95</v>
      </c>
      <c r="AA157" s="196">
        <v>0.0134</v>
      </c>
      <c r="AC157" s="190">
        <v>159.34</v>
      </c>
      <c r="AD157" s="189">
        <v>-0.0121</v>
      </c>
      <c r="AF157" s="197">
        <v>28.45</v>
      </c>
      <c r="AG157" s="196">
        <v>0.0143</v>
      </c>
      <c r="AI157" s="199">
        <v>1860.05</v>
      </c>
      <c r="AJ157" s="196">
        <v>-0.0181</v>
      </c>
    </row>
    <row r="158" ht="15.75" customHeight="1">
      <c r="A158" s="177"/>
      <c r="B158" s="178" t="s">
        <v>416</v>
      </c>
      <c r="C158" s="188">
        <v>16658.4</v>
      </c>
      <c r="D158" s="189">
        <v>-0.0358</v>
      </c>
      <c r="F158" s="190">
        <v>220.0</v>
      </c>
      <c r="G158" s="189">
        <v>-0.0255</v>
      </c>
      <c r="Z158" s="198">
        <v>130.2</v>
      </c>
      <c r="AA158" s="196">
        <v>-0.0012</v>
      </c>
      <c r="AC158" s="190">
        <v>161.29</v>
      </c>
      <c r="AD158" s="189">
        <v>0.09</v>
      </c>
      <c r="AF158" s="197">
        <v>28.05</v>
      </c>
      <c r="AG158" s="196">
        <v>0.0126</v>
      </c>
      <c r="AI158" s="199">
        <v>1894.3</v>
      </c>
      <c r="AJ158" s="196">
        <v>-0.0152</v>
      </c>
    </row>
    <row r="159" ht="15.75" customHeight="1">
      <c r="A159" s="177"/>
      <c r="B159" s="178" t="s">
        <v>417</v>
      </c>
      <c r="C159" s="188">
        <v>17276.3</v>
      </c>
      <c r="D159" s="189">
        <v>-0.0057</v>
      </c>
      <c r="F159" s="190">
        <v>225.75</v>
      </c>
      <c r="G159" s="189">
        <v>-0.0282</v>
      </c>
      <c r="Z159" s="198">
        <v>130.35</v>
      </c>
      <c r="AA159" s="196">
        <v>-0.0151</v>
      </c>
      <c r="AC159" s="190">
        <v>147.98</v>
      </c>
      <c r="AD159" s="189">
        <v>0.0082</v>
      </c>
      <c r="AF159" s="197">
        <v>27.7</v>
      </c>
      <c r="AG159" s="196">
        <v>-0.0751</v>
      </c>
      <c r="AI159" s="199">
        <v>1923.5</v>
      </c>
      <c r="AJ159" s="196">
        <v>-0.058</v>
      </c>
    </row>
    <row r="160" ht="15.75" customHeight="1">
      <c r="A160" s="177"/>
      <c r="B160" s="178">
        <v>44714.0</v>
      </c>
      <c r="C160" s="188">
        <v>17374.75</v>
      </c>
      <c r="D160" s="189">
        <v>-0.0081</v>
      </c>
      <c r="F160" s="190">
        <v>232.3</v>
      </c>
      <c r="G160" s="189">
        <v>-0.0867</v>
      </c>
      <c r="Z160" s="198">
        <v>132.35</v>
      </c>
      <c r="AA160" s="196">
        <v>-0.035</v>
      </c>
      <c r="AC160" s="190">
        <v>146.77</v>
      </c>
      <c r="AD160" s="189">
        <v>-0.0582</v>
      </c>
      <c r="AF160" s="197">
        <v>29.95</v>
      </c>
      <c r="AG160" s="196">
        <v>0.0222</v>
      </c>
      <c r="AI160" s="199">
        <v>2041.85</v>
      </c>
      <c r="AJ160" s="196">
        <v>0.0704</v>
      </c>
    </row>
    <row r="161" ht="15.75" customHeight="1">
      <c r="A161" s="177"/>
      <c r="B161" s="178" t="s">
        <v>418</v>
      </c>
      <c r="C161" s="188">
        <v>17516.3</v>
      </c>
      <c r="D161" s="189">
        <v>0.0242</v>
      </c>
      <c r="F161" s="190">
        <v>254.35</v>
      </c>
      <c r="G161" s="189">
        <v>0.0422</v>
      </c>
      <c r="Z161" s="198">
        <v>137.15</v>
      </c>
      <c r="AA161" s="196">
        <v>0.022</v>
      </c>
      <c r="AC161" s="190">
        <v>155.85</v>
      </c>
      <c r="AD161" s="189">
        <v>-0.0091</v>
      </c>
      <c r="AF161" s="197">
        <v>29.3</v>
      </c>
      <c r="AG161" s="196">
        <v>-0.0201</v>
      </c>
      <c r="AI161" s="199">
        <v>1907.6</v>
      </c>
      <c r="AJ161" s="196">
        <v>-0.0219</v>
      </c>
    </row>
    <row r="162" ht="15.75" customHeight="1">
      <c r="A162" s="177"/>
      <c r="B162" s="178" t="s">
        <v>419</v>
      </c>
      <c r="C162" s="188">
        <v>17101.95</v>
      </c>
      <c r="D162" s="189">
        <v>-0.0292</v>
      </c>
      <c r="F162" s="190">
        <v>244.05</v>
      </c>
      <c r="G162" s="189">
        <v>0.0087</v>
      </c>
      <c r="Z162" s="198">
        <v>134.2</v>
      </c>
      <c r="AA162" s="196">
        <v>-0.0425</v>
      </c>
      <c r="AC162" s="190">
        <v>157.27</v>
      </c>
      <c r="AD162" s="189">
        <v>-0.0024</v>
      </c>
      <c r="AF162" s="197">
        <v>29.9</v>
      </c>
      <c r="AG162" s="196">
        <v>0.005</v>
      </c>
      <c r="AI162" s="199">
        <v>1950.35</v>
      </c>
      <c r="AJ162" s="196">
        <v>0.0062</v>
      </c>
    </row>
    <row r="163" ht="15.75" customHeight="1">
      <c r="A163" s="177"/>
      <c r="B163" s="178" t="s">
        <v>420</v>
      </c>
      <c r="C163" s="188">
        <v>17617.15</v>
      </c>
      <c r="D163" s="189">
        <v>-0.035</v>
      </c>
      <c r="F163" s="190">
        <v>241.95</v>
      </c>
      <c r="G163" s="189">
        <v>-0.01</v>
      </c>
      <c r="Z163" s="198">
        <v>140.15</v>
      </c>
      <c r="AA163" s="196">
        <v>0.0451</v>
      </c>
      <c r="AC163" s="190">
        <v>157.65</v>
      </c>
      <c r="AD163" s="189">
        <v>-0.0228</v>
      </c>
      <c r="AF163" s="197">
        <v>29.75</v>
      </c>
      <c r="AG163" s="196">
        <v>-0.023</v>
      </c>
      <c r="AI163" s="199">
        <v>1938.4</v>
      </c>
      <c r="AJ163" s="196">
        <v>0.002</v>
      </c>
    </row>
    <row r="164" ht="15.75" customHeight="1">
      <c r="A164" s="177"/>
      <c r="B164" s="178">
        <v>44805.0</v>
      </c>
      <c r="C164" s="188">
        <v>18255.75</v>
      </c>
      <c r="D164" s="189">
        <v>0.0249</v>
      </c>
      <c r="F164" s="190">
        <v>244.4</v>
      </c>
      <c r="G164" s="189">
        <v>0.0635</v>
      </c>
      <c r="Z164" s="198">
        <v>134.1</v>
      </c>
      <c r="AA164" s="196">
        <v>-0.0092</v>
      </c>
      <c r="AC164" s="190">
        <v>161.32</v>
      </c>
      <c r="AD164" s="189">
        <v>0.0354</v>
      </c>
      <c r="AF164" s="197">
        <v>30.45</v>
      </c>
      <c r="AG164" s="196">
        <v>-0.024</v>
      </c>
      <c r="AI164" s="199">
        <v>1934.55</v>
      </c>
      <c r="AJ164" s="196">
        <v>0.1393</v>
      </c>
    </row>
    <row r="165" ht="15.75" customHeight="1">
      <c r="A165" s="177"/>
      <c r="B165" s="178">
        <v>44593.0</v>
      </c>
      <c r="C165" s="188">
        <v>17812.7</v>
      </c>
      <c r="D165" s="189">
        <v>0.0264</v>
      </c>
      <c r="F165" s="190">
        <v>229.8</v>
      </c>
      <c r="G165" s="189">
        <v>0.0401</v>
      </c>
      <c r="Z165" s="198">
        <v>135.35</v>
      </c>
      <c r="AA165" s="196">
        <v>0.0305</v>
      </c>
      <c r="AC165" s="190">
        <v>155.81</v>
      </c>
      <c r="AD165" s="189">
        <v>0.0124</v>
      </c>
      <c r="AF165" s="197">
        <v>31.2</v>
      </c>
      <c r="AG165" s="196">
        <v>0.0</v>
      </c>
      <c r="AI165" s="199">
        <v>1697.95</v>
      </c>
      <c r="AJ165" s="196">
        <v>0.1931</v>
      </c>
    </row>
    <row r="166" ht="15.75" customHeight="1">
      <c r="A166" s="177"/>
      <c r="B166" s="178" t="s">
        <v>421</v>
      </c>
      <c r="C166" s="188">
        <v>17354.05</v>
      </c>
      <c r="D166" s="189">
        <v>0.0206</v>
      </c>
      <c r="F166" s="190">
        <v>220.95</v>
      </c>
      <c r="G166" s="189">
        <v>0.0191</v>
      </c>
      <c r="Z166" s="198">
        <v>131.35</v>
      </c>
      <c r="AA166" s="196">
        <v>0.0559</v>
      </c>
      <c r="AC166" s="190">
        <v>153.9</v>
      </c>
      <c r="AD166" s="189">
        <v>0.0039</v>
      </c>
      <c r="AF166" s="197">
        <v>31.2</v>
      </c>
      <c r="AG166" s="196">
        <v>0.0081</v>
      </c>
      <c r="AI166" s="199">
        <v>1423.1</v>
      </c>
      <c r="AJ166" s="196">
        <v>0.0698</v>
      </c>
    </row>
    <row r="167" ht="15.75" customHeight="1">
      <c r="A167" s="177"/>
      <c r="B167" s="178" t="s">
        <v>422</v>
      </c>
      <c r="C167" s="188">
        <v>17003.75</v>
      </c>
      <c r="D167" s="189">
        <v>0.0011</v>
      </c>
      <c r="F167" s="190">
        <v>216.8</v>
      </c>
      <c r="G167" s="189">
        <v>0.0046</v>
      </c>
      <c r="Z167" s="198">
        <v>124.4</v>
      </c>
      <c r="AA167" s="196">
        <v>0.026</v>
      </c>
      <c r="AC167" s="190">
        <v>153.3</v>
      </c>
      <c r="AD167" s="189">
        <v>-0.0049</v>
      </c>
      <c r="AF167" s="197">
        <v>30.95</v>
      </c>
      <c r="AG167" s="196">
        <v>0.0198</v>
      </c>
      <c r="AI167" s="199">
        <v>1330.25</v>
      </c>
      <c r="AJ167" s="196">
        <v>-0.0398</v>
      </c>
    </row>
    <row r="168" ht="15.75" customHeight="1">
      <c r="A168" s="177"/>
      <c r="B168" s="178">
        <v>44542.0</v>
      </c>
      <c r="C168" s="188">
        <v>16985.2</v>
      </c>
      <c r="D168" s="189">
        <v>-0.03</v>
      </c>
      <c r="F168" s="190">
        <v>215.8</v>
      </c>
      <c r="G168" s="189">
        <v>-0.0535</v>
      </c>
      <c r="Z168" s="198">
        <v>121.25</v>
      </c>
      <c r="AA168" s="196">
        <v>-0.0342</v>
      </c>
      <c r="AC168" s="190">
        <v>154.05</v>
      </c>
      <c r="AD168" s="189">
        <v>-0.0073</v>
      </c>
      <c r="AF168" s="197">
        <v>30.35</v>
      </c>
      <c r="AG168" s="196">
        <v>-0.0334</v>
      </c>
      <c r="AI168" s="199">
        <v>1385.4</v>
      </c>
      <c r="AJ168" s="196">
        <v>-0.0197</v>
      </c>
    </row>
    <row r="169" ht="15.75" customHeight="1">
      <c r="A169" s="177"/>
      <c r="B169" s="178">
        <v>44328.0</v>
      </c>
      <c r="C169" s="188">
        <v>17511.3</v>
      </c>
      <c r="D169" s="189">
        <v>0.0183</v>
      </c>
      <c r="F169" s="190">
        <v>228.0</v>
      </c>
      <c r="G169" s="189">
        <v>0.0106</v>
      </c>
      <c r="Z169" s="198">
        <v>125.55</v>
      </c>
      <c r="AA169" s="196">
        <v>-0.0048</v>
      </c>
      <c r="AC169" s="190">
        <v>155.18</v>
      </c>
      <c r="AD169" s="189">
        <v>0.036</v>
      </c>
      <c r="AF169" s="197">
        <v>31.4</v>
      </c>
      <c r="AG169" s="196">
        <v>-0.0218</v>
      </c>
      <c r="AI169" s="199">
        <v>1413.25</v>
      </c>
      <c r="AJ169" s="196">
        <v>0.0175</v>
      </c>
    </row>
    <row r="170" ht="15.75" customHeight="1">
      <c r="A170" s="177"/>
      <c r="B170" s="178" t="s">
        <v>423</v>
      </c>
      <c r="C170" s="188">
        <v>17196.7</v>
      </c>
      <c r="D170" s="189">
        <v>0.01</v>
      </c>
      <c r="F170" s="190">
        <v>225.6</v>
      </c>
      <c r="G170" s="189">
        <v>-0.0077</v>
      </c>
      <c r="Z170" s="198">
        <v>126.15</v>
      </c>
      <c r="AA170" s="196">
        <v>-0.0067</v>
      </c>
      <c r="AC170" s="190">
        <v>149.78</v>
      </c>
      <c r="AD170" s="189">
        <v>-0.0167</v>
      </c>
      <c r="AF170" s="197">
        <v>32.1</v>
      </c>
      <c r="AG170" s="196">
        <v>-0.0138</v>
      </c>
      <c r="AI170" s="199">
        <v>1388.9</v>
      </c>
      <c r="AJ170" s="196">
        <v>-5.0E-4</v>
      </c>
    </row>
    <row r="171" ht="15.75" customHeight="1">
      <c r="A171" s="177"/>
      <c r="B171" s="178" t="s">
        <v>424</v>
      </c>
      <c r="C171" s="188">
        <v>17026.45</v>
      </c>
      <c r="D171" s="189">
        <v>-0.0416</v>
      </c>
      <c r="F171" s="190">
        <v>227.35</v>
      </c>
      <c r="G171" s="189">
        <v>-0.0411</v>
      </c>
      <c r="Z171" s="198">
        <v>127.0</v>
      </c>
      <c r="AA171" s="196">
        <v>-0.0144</v>
      </c>
      <c r="AC171" s="190">
        <v>152.33</v>
      </c>
      <c r="AD171" s="189">
        <v>0.0203</v>
      </c>
      <c r="AF171" s="197">
        <v>32.55</v>
      </c>
      <c r="AG171" s="196">
        <v>0.062</v>
      </c>
      <c r="AI171" s="199">
        <v>1389.65</v>
      </c>
      <c r="AJ171" s="196">
        <v>0.0125</v>
      </c>
    </row>
    <row r="172" ht="15.75" customHeight="1">
      <c r="A172" s="177"/>
      <c r="B172" s="178" t="s">
        <v>425</v>
      </c>
      <c r="C172" s="188">
        <v>17764.8</v>
      </c>
      <c r="D172" s="189">
        <v>-0.0187</v>
      </c>
      <c r="F172" s="190">
        <v>237.1</v>
      </c>
      <c r="G172" s="189">
        <v>-0.0115</v>
      </c>
      <c r="Z172" s="198">
        <v>128.85</v>
      </c>
      <c r="AA172" s="196">
        <v>-0.0477</v>
      </c>
      <c r="AC172" s="190">
        <v>149.3</v>
      </c>
      <c r="AD172" s="189">
        <v>0.0494</v>
      </c>
      <c r="AF172" s="197">
        <v>30.65</v>
      </c>
      <c r="AG172" s="196">
        <v>-0.0598</v>
      </c>
      <c r="AI172" s="199">
        <v>1372.55</v>
      </c>
      <c r="AJ172" s="196">
        <v>0.0199</v>
      </c>
    </row>
    <row r="173" ht="15.75" customHeight="1">
      <c r="A173" s="177"/>
      <c r="B173" s="178">
        <v>44388.0</v>
      </c>
      <c r="C173" s="188">
        <v>18102.75</v>
      </c>
      <c r="D173" s="189">
        <v>0.0104</v>
      </c>
      <c r="F173" s="190">
        <v>239.85</v>
      </c>
      <c r="G173" s="189">
        <v>0.0367</v>
      </c>
      <c r="Z173" s="198">
        <v>135.3</v>
      </c>
      <c r="AA173" s="196">
        <v>-0.0084</v>
      </c>
      <c r="AC173" s="190">
        <v>142.28</v>
      </c>
      <c r="AD173" s="189">
        <v>0.0577</v>
      </c>
      <c r="AF173" s="197">
        <v>32.6</v>
      </c>
      <c r="AG173" s="196">
        <v>0.0093</v>
      </c>
      <c r="AI173" s="199">
        <v>1345.75</v>
      </c>
      <c r="AJ173" s="196">
        <v>0.0414</v>
      </c>
    </row>
    <row r="174" ht="15.75" customHeight="1">
      <c r="A174" s="177"/>
      <c r="B174" s="178" t="s">
        <v>426</v>
      </c>
      <c r="C174" s="188">
        <v>17916.8</v>
      </c>
      <c r="D174" s="189">
        <v>0.0139</v>
      </c>
      <c r="F174" s="190">
        <v>231.35</v>
      </c>
      <c r="G174" s="189">
        <v>0.0796</v>
      </c>
      <c r="Z174" s="198">
        <v>136.45</v>
      </c>
      <c r="AA174" s="196">
        <v>-0.0051</v>
      </c>
      <c r="AC174" s="190">
        <v>134.52</v>
      </c>
      <c r="AD174" s="189">
        <v>-0.0165</v>
      </c>
      <c r="AF174" s="197">
        <v>32.3</v>
      </c>
      <c r="AG174" s="196">
        <v>0.0436</v>
      </c>
      <c r="AI174" s="199">
        <v>1292.3</v>
      </c>
      <c r="AJ174" s="196">
        <v>0.0766</v>
      </c>
    </row>
    <row r="175" ht="15.75" customHeight="1">
      <c r="A175" s="177"/>
      <c r="B175" s="178" t="s">
        <v>427</v>
      </c>
      <c r="C175" s="188">
        <v>17671.65</v>
      </c>
      <c r="D175" s="189">
        <v>-0.0245</v>
      </c>
      <c r="F175" s="190">
        <v>214.3</v>
      </c>
      <c r="G175" s="189">
        <v>-0.0347</v>
      </c>
      <c r="Z175" s="198">
        <v>137.15</v>
      </c>
      <c r="AA175" s="196">
        <v>0.0339</v>
      </c>
      <c r="AC175" s="190">
        <v>136.77</v>
      </c>
      <c r="AD175" s="189">
        <v>0.0</v>
      </c>
      <c r="AF175" s="197">
        <v>30.95</v>
      </c>
      <c r="AG175" s="196">
        <v>0.0081</v>
      </c>
      <c r="AI175" s="199">
        <v>1200.4</v>
      </c>
      <c r="AJ175" s="196">
        <v>0.0412</v>
      </c>
    </row>
    <row r="176" ht="15.75" customHeight="1">
      <c r="A176" s="177"/>
      <c r="B176" s="178" t="s">
        <v>428</v>
      </c>
      <c r="C176" s="188">
        <v>18114.9</v>
      </c>
      <c r="D176" s="189">
        <v>-0.0122</v>
      </c>
      <c r="F176" s="190">
        <v>222.0</v>
      </c>
      <c r="G176" s="189">
        <v>-0.0027</v>
      </c>
      <c r="Z176" s="198">
        <v>132.65</v>
      </c>
      <c r="AA176" s="196">
        <v>-0.0845</v>
      </c>
      <c r="AC176" s="190">
        <v>136.77</v>
      </c>
      <c r="AD176" s="189">
        <v>-0.0483</v>
      </c>
      <c r="AF176" s="197">
        <v>30.7</v>
      </c>
      <c r="AG176" s="196">
        <v>-0.0525</v>
      </c>
      <c r="AI176" s="199">
        <v>1152.85</v>
      </c>
      <c r="AJ176" s="196">
        <v>-0.041</v>
      </c>
    </row>
    <row r="177" ht="15.75" customHeight="1">
      <c r="A177" s="177"/>
      <c r="B177" s="178">
        <v>44479.0</v>
      </c>
      <c r="C177" s="188">
        <v>18338.55</v>
      </c>
      <c r="D177" s="189">
        <v>0.0248</v>
      </c>
      <c r="F177" s="190">
        <v>222.6</v>
      </c>
      <c r="G177" s="189">
        <v>0.2587</v>
      </c>
      <c r="Z177" s="198">
        <v>144.9</v>
      </c>
      <c r="AA177" s="196">
        <v>-0.0301</v>
      </c>
      <c r="AC177" s="190">
        <v>143.72</v>
      </c>
      <c r="AD177" s="189">
        <v>-0.0498</v>
      </c>
      <c r="AF177" s="197">
        <v>32.4</v>
      </c>
      <c r="AG177" s="196">
        <v>0.0485</v>
      </c>
      <c r="AI177" s="199">
        <v>1202.15</v>
      </c>
      <c r="AJ177" s="196">
        <v>-0.0036</v>
      </c>
    </row>
    <row r="178" ht="15.75" customHeight="1">
      <c r="A178" s="177"/>
      <c r="B178" s="178">
        <v>44265.0</v>
      </c>
      <c r="C178" s="188">
        <v>17895.2</v>
      </c>
      <c r="D178" s="189">
        <v>0.0207</v>
      </c>
      <c r="F178" s="190">
        <v>176.85</v>
      </c>
      <c r="G178" s="189">
        <v>0.08</v>
      </c>
      <c r="Z178" s="198">
        <v>149.4</v>
      </c>
      <c r="AA178" s="196">
        <v>0.0588</v>
      </c>
      <c r="AC178" s="190">
        <v>151.26</v>
      </c>
      <c r="AD178" s="189">
        <v>0.0903</v>
      </c>
      <c r="AF178" s="197">
        <v>30.9</v>
      </c>
      <c r="AG178" s="196">
        <v>0.0098</v>
      </c>
      <c r="AI178" s="199">
        <v>1206.55</v>
      </c>
      <c r="AJ178" s="196">
        <v>0.0255</v>
      </c>
    </row>
    <row r="179" ht="15.75" customHeight="1">
      <c r="A179" s="177"/>
      <c r="B179" s="178" t="s">
        <v>429</v>
      </c>
      <c r="C179" s="188">
        <v>17532.05</v>
      </c>
      <c r="D179" s="189">
        <v>-0.018</v>
      </c>
      <c r="F179" s="190">
        <v>163.75</v>
      </c>
      <c r="G179" s="189">
        <v>0.1772</v>
      </c>
      <c r="Z179" s="198">
        <v>141.1</v>
      </c>
      <c r="AA179" s="196">
        <v>0.0086</v>
      </c>
      <c r="AC179" s="190">
        <v>138.73</v>
      </c>
      <c r="AD179" s="189">
        <v>-0.0216</v>
      </c>
      <c r="AF179" s="197">
        <v>30.6</v>
      </c>
      <c r="AG179" s="196">
        <v>0.0515</v>
      </c>
      <c r="AI179" s="199">
        <v>1176.55</v>
      </c>
      <c r="AJ179" s="196">
        <v>0.0222</v>
      </c>
    </row>
    <row r="180" ht="15.75" customHeight="1">
      <c r="A180" s="177"/>
      <c r="B180" s="178" t="s">
        <v>430</v>
      </c>
      <c r="C180" s="188">
        <v>17853.2</v>
      </c>
      <c r="D180" s="189">
        <v>0.0152</v>
      </c>
      <c r="F180" s="190">
        <v>139.1</v>
      </c>
      <c r="G180" s="189">
        <v>0.0087</v>
      </c>
      <c r="Z180" s="198">
        <v>139.9</v>
      </c>
      <c r="AA180" s="196">
        <v>0.126</v>
      </c>
      <c r="AC180" s="190">
        <v>141.8</v>
      </c>
      <c r="AD180" s="189">
        <v>0.0891</v>
      </c>
      <c r="AF180" s="197">
        <v>29.1</v>
      </c>
      <c r="AG180" s="196">
        <v>0.0411</v>
      </c>
      <c r="AI180" s="199">
        <v>1151.05</v>
      </c>
      <c r="AJ180" s="196">
        <v>-7.0E-4</v>
      </c>
    </row>
    <row r="181" ht="15.75" customHeight="1">
      <c r="A181" s="177"/>
      <c r="B181" s="178">
        <v>44539.0</v>
      </c>
      <c r="C181" s="188">
        <v>17585.15</v>
      </c>
      <c r="D181" s="189">
        <v>0.0124</v>
      </c>
      <c r="F181" s="190">
        <v>137.9</v>
      </c>
      <c r="G181" s="189">
        <v>0.0388</v>
      </c>
      <c r="Z181" s="198">
        <v>124.25</v>
      </c>
      <c r="AA181" s="196">
        <v>0.004</v>
      </c>
      <c r="AC181" s="190">
        <v>130.19</v>
      </c>
      <c r="AD181" s="189">
        <v>-0.0148</v>
      </c>
      <c r="AF181" s="197">
        <v>27.95</v>
      </c>
      <c r="AG181" s="196">
        <v>0.009</v>
      </c>
      <c r="AI181" s="199">
        <v>1151.8</v>
      </c>
      <c r="AJ181" s="196">
        <v>-0.0013</v>
      </c>
    </row>
    <row r="182" ht="15.75" customHeight="1">
      <c r="A182" s="177"/>
      <c r="B182" s="178">
        <v>44325.0</v>
      </c>
      <c r="C182" s="188">
        <v>17369.25</v>
      </c>
      <c r="D182" s="189">
        <v>0.0026</v>
      </c>
      <c r="F182" s="190">
        <v>132.75</v>
      </c>
      <c r="G182" s="189">
        <v>-0.0082</v>
      </c>
      <c r="Z182" s="198">
        <v>123.75</v>
      </c>
      <c r="AA182" s="196">
        <v>0.0803</v>
      </c>
      <c r="AC182" s="190">
        <v>132.15</v>
      </c>
      <c r="AD182" s="189">
        <v>0.0305</v>
      </c>
      <c r="AF182" s="197">
        <v>27.7</v>
      </c>
      <c r="AG182" s="196">
        <v>0.0109</v>
      </c>
      <c r="AI182" s="199">
        <v>1153.25</v>
      </c>
      <c r="AJ182" s="196">
        <v>-0.0516</v>
      </c>
    </row>
    <row r="183" ht="15.75" customHeight="1">
      <c r="A183" s="177"/>
      <c r="B183" s="178" t="s">
        <v>431</v>
      </c>
      <c r="C183" s="188">
        <v>17323.6</v>
      </c>
      <c r="D183" s="189">
        <v>0.037</v>
      </c>
      <c r="F183" s="190">
        <v>133.85</v>
      </c>
      <c r="G183" s="189">
        <v>0.0519</v>
      </c>
      <c r="Z183" s="198">
        <v>114.55</v>
      </c>
      <c r="AA183" s="196">
        <v>-0.0209</v>
      </c>
      <c r="AC183" s="190">
        <v>128.24</v>
      </c>
      <c r="AD183" s="189">
        <v>-0.0117</v>
      </c>
      <c r="AF183" s="197">
        <v>27.4</v>
      </c>
      <c r="AG183" s="196">
        <v>-0.0108</v>
      </c>
      <c r="AI183" s="199">
        <v>1215.95</v>
      </c>
      <c r="AJ183" s="196">
        <v>0.1245</v>
      </c>
    </row>
    <row r="184" ht="15.75" customHeight="1">
      <c r="A184" s="177"/>
      <c r="B184" s="178" t="s">
        <v>432</v>
      </c>
      <c r="C184" s="188">
        <v>16705.2</v>
      </c>
      <c r="D184" s="189">
        <v>0.0155</v>
      </c>
      <c r="F184" s="190">
        <v>127.25</v>
      </c>
      <c r="G184" s="189">
        <v>0.0083</v>
      </c>
      <c r="Z184" s="198">
        <v>117.0</v>
      </c>
      <c r="AA184" s="196">
        <v>0.0317</v>
      </c>
      <c r="AC184" s="190">
        <v>129.75</v>
      </c>
      <c r="AD184" s="189">
        <v>0.0069</v>
      </c>
      <c r="AF184" s="197">
        <v>27.7</v>
      </c>
      <c r="AG184" s="196">
        <v>0.0453</v>
      </c>
      <c r="AI184" s="199">
        <v>1081.35</v>
      </c>
      <c r="AJ184" s="196">
        <v>0.0307</v>
      </c>
    </row>
    <row r="185" ht="15.75" customHeight="1">
      <c r="A185" s="177"/>
      <c r="B185" s="178" t="s">
        <v>433</v>
      </c>
      <c r="C185" s="188">
        <v>16450.5</v>
      </c>
      <c r="D185" s="189">
        <v>-0.0048</v>
      </c>
      <c r="F185" s="190">
        <v>126.2</v>
      </c>
      <c r="G185" s="189">
        <v>-0.0479</v>
      </c>
      <c r="Z185" s="198">
        <v>113.4</v>
      </c>
      <c r="AA185" s="196">
        <v>-0.0066</v>
      </c>
      <c r="AC185" s="190">
        <v>128.86</v>
      </c>
      <c r="AD185" s="189">
        <v>-0.0238</v>
      </c>
      <c r="AF185" s="197">
        <v>26.5</v>
      </c>
      <c r="AG185" s="196">
        <v>0.0095</v>
      </c>
      <c r="AI185" s="199">
        <v>1049.1</v>
      </c>
      <c r="AJ185" s="196">
        <v>0.121</v>
      </c>
    </row>
    <row r="186" ht="15.75" customHeight="1">
      <c r="A186" s="177"/>
      <c r="B186" s="178">
        <v>44416.0</v>
      </c>
      <c r="C186" s="188">
        <v>16529.1</v>
      </c>
      <c r="D186" s="189">
        <v>0.0179</v>
      </c>
      <c r="F186" s="190">
        <v>132.55</v>
      </c>
      <c r="G186" s="189">
        <v>-0.0192</v>
      </c>
      <c r="Z186" s="198">
        <v>114.15</v>
      </c>
      <c r="AA186" s="196">
        <v>-0.0347</v>
      </c>
      <c r="AC186" s="190">
        <v>132.0</v>
      </c>
      <c r="AD186" s="189">
        <v>-0.0333</v>
      </c>
      <c r="AF186" s="197">
        <v>26.25</v>
      </c>
      <c r="AG186" s="196">
        <v>-0.0132</v>
      </c>
      <c r="AI186" s="197">
        <v>935.85</v>
      </c>
      <c r="AJ186" s="196">
        <v>0.0182</v>
      </c>
    </row>
    <row r="187" ht="15.75" customHeight="1">
      <c r="A187" s="177"/>
      <c r="B187" s="178">
        <v>44204.0</v>
      </c>
      <c r="C187" s="188">
        <v>16238.2</v>
      </c>
      <c r="D187" s="189">
        <v>0.0301</v>
      </c>
      <c r="F187" s="190">
        <v>135.15</v>
      </c>
      <c r="G187" s="189">
        <v>0.0812</v>
      </c>
      <c r="Z187" s="198">
        <v>118.25</v>
      </c>
      <c r="AA187" s="196">
        <v>0.0051</v>
      </c>
      <c r="AC187" s="190">
        <v>136.55</v>
      </c>
      <c r="AD187" s="189">
        <v>0.0557</v>
      </c>
      <c r="AF187" s="197">
        <v>26.6</v>
      </c>
      <c r="AG187" s="196">
        <v>0.0231</v>
      </c>
      <c r="AI187" s="197">
        <v>919.1</v>
      </c>
      <c r="AJ187" s="196">
        <v>0.0094</v>
      </c>
    </row>
    <row r="188" ht="15.75" customHeight="1">
      <c r="A188" s="177"/>
      <c r="B188" s="178" t="s">
        <v>434</v>
      </c>
      <c r="C188" s="188">
        <v>15763.05</v>
      </c>
      <c r="D188" s="189">
        <v>-0.0059</v>
      </c>
      <c r="F188" s="190">
        <v>125.0</v>
      </c>
      <c r="G188" s="189">
        <v>0.0171</v>
      </c>
      <c r="Z188" s="198">
        <v>117.65</v>
      </c>
      <c r="AA188" s="196">
        <v>-0.0047</v>
      </c>
      <c r="AC188" s="190">
        <v>129.34</v>
      </c>
      <c r="AD188" s="189">
        <v>0.0225</v>
      </c>
      <c r="AF188" s="197">
        <v>26.0</v>
      </c>
      <c r="AG188" s="196">
        <v>-0.0095</v>
      </c>
      <c r="AI188" s="197">
        <v>910.55</v>
      </c>
      <c r="AJ188" s="196">
        <v>0.032</v>
      </c>
    </row>
    <row r="189" ht="15.75" customHeight="1">
      <c r="A189" s="177"/>
      <c r="B189" s="178" t="s">
        <v>435</v>
      </c>
      <c r="C189" s="188">
        <v>15856.05</v>
      </c>
      <c r="D189" s="189">
        <v>-0.0042</v>
      </c>
      <c r="F189" s="190">
        <v>122.9</v>
      </c>
      <c r="G189" s="189">
        <v>-0.0101</v>
      </c>
      <c r="Z189" s="198">
        <v>118.2</v>
      </c>
      <c r="AA189" s="196">
        <v>-0.0025</v>
      </c>
      <c r="AC189" s="190">
        <v>126.5</v>
      </c>
      <c r="AD189" s="189">
        <v>-0.0206</v>
      </c>
      <c r="AF189" s="197">
        <v>26.25</v>
      </c>
      <c r="AG189" s="196">
        <v>0.0077</v>
      </c>
      <c r="AI189" s="197">
        <v>882.3</v>
      </c>
      <c r="AJ189" s="196">
        <v>-0.0999</v>
      </c>
    </row>
    <row r="190" ht="15.75" customHeight="1">
      <c r="A190" s="177"/>
      <c r="B190" s="178">
        <v>44507.0</v>
      </c>
      <c r="C190" s="188">
        <v>15923.4</v>
      </c>
      <c r="D190" s="189">
        <v>0.0149</v>
      </c>
      <c r="F190" s="190">
        <v>124.15</v>
      </c>
      <c r="G190" s="189">
        <v>-0.0024</v>
      </c>
      <c r="Z190" s="198">
        <v>118.5</v>
      </c>
      <c r="AA190" s="196">
        <v>-0.005</v>
      </c>
      <c r="AC190" s="190">
        <v>129.16</v>
      </c>
      <c r="AD190" s="189">
        <v>-0.0036</v>
      </c>
      <c r="AF190" s="197">
        <v>26.05</v>
      </c>
      <c r="AG190" s="196">
        <v>0.0058</v>
      </c>
      <c r="AI190" s="197">
        <v>980.25</v>
      </c>
      <c r="AJ190" s="196">
        <v>-0.0282</v>
      </c>
    </row>
    <row r="191" ht="15.75" customHeight="1">
      <c r="A191" s="177"/>
      <c r="B191" s="178">
        <v>44293.0</v>
      </c>
      <c r="C191" s="188">
        <v>15689.8</v>
      </c>
      <c r="D191" s="189">
        <v>-0.0021</v>
      </c>
      <c r="F191" s="190">
        <v>124.45</v>
      </c>
      <c r="G191" s="189">
        <v>0.0289</v>
      </c>
      <c r="Z191" s="198">
        <v>119.1</v>
      </c>
      <c r="AA191" s="196">
        <v>0.011</v>
      </c>
      <c r="AC191" s="190">
        <v>129.63</v>
      </c>
      <c r="AD191" s="189">
        <v>0.0156</v>
      </c>
      <c r="AF191" s="197">
        <v>25.9</v>
      </c>
      <c r="AG191" s="196">
        <v>-0.0077</v>
      </c>
      <c r="AI191" s="199">
        <v>1008.65</v>
      </c>
      <c r="AJ191" s="196">
        <v>-0.0105</v>
      </c>
    </row>
    <row r="192" ht="15.75" customHeight="1">
      <c r="A192" s="177"/>
      <c r="B192" s="178" t="s">
        <v>436</v>
      </c>
      <c r="C192" s="188">
        <v>15722.2</v>
      </c>
      <c r="D192" s="189">
        <v>-0.0087</v>
      </c>
      <c r="F192" s="190">
        <v>120.95</v>
      </c>
      <c r="G192" s="189">
        <v>-0.0012</v>
      </c>
      <c r="Z192" s="198">
        <v>117.8</v>
      </c>
      <c r="AA192" s="196">
        <v>0.0026</v>
      </c>
      <c r="AC192" s="190">
        <v>127.63</v>
      </c>
      <c r="AD192" s="189">
        <v>0.0101</v>
      </c>
      <c r="AF192" s="197">
        <v>26.1</v>
      </c>
      <c r="AG192" s="196">
        <v>-0.0057</v>
      </c>
      <c r="AI192" s="199">
        <v>1019.4</v>
      </c>
      <c r="AJ192" s="196">
        <v>0.004</v>
      </c>
    </row>
    <row r="193" ht="15.75" customHeight="1">
      <c r="A193" s="177"/>
      <c r="B193" s="178" t="s">
        <v>437</v>
      </c>
      <c r="C193" s="188">
        <v>15860.35</v>
      </c>
      <c r="D193" s="189">
        <v>0.0113</v>
      </c>
      <c r="F193" s="190">
        <v>121.1</v>
      </c>
      <c r="G193" s="189">
        <v>-0.0029</v>
      </c>
      <c r="Z193" s="198">
        <v>117.5</v>
      </c>
      <c r="AA193" s="196">
        <v>0.0125</v>
      </c>
      <c r="AC193" s="190">
        <v>126.36</v>
      </c>
      <c r="AD193" s="189">
        <v>-0.0126</v>
      </c>
      <c r="AF193" s="197">
        <v>26.25</v>
      </c>
      <c r="AG193" s="196">
        <v>-0.0132</v>
      </c>
      <c r="AI193" s="199">
        <v>1015.3</v>
      </c>
      <c r="AJ193" s="196">
        <v>-0.1302</v>
      </c>
    </row>
    <row r="194" ht="15.75" customHeight="1">
      <c r="A194" s="177"/>
      <c r="B194" s="178" t="s">
        <v>438</v>
      </c>
      <c r="C194" s="188">
        <v>15683.35</v>
      </c>
      <c r="D194" s="189">
        <v>-0.0073</v>
      </c>
      <c r="F194" s="190">
        <v>121.45</v>
      </c>
      <c r="G194" s="189">
        <v>-0.0338</v>
      </c>
      <c r="Z194" s="198">
        <v>116.05</v>
      </c>
      <c r="AA194" s="196">
        <v>0.022</v>
      </c>
      <c r="AC194" s="190">
        <v>127.97</v>
      </c>
      <c r="AD194" s="189">
        <v>-0.0092</v>
      </c>
      <c r="AF194" s="197">
        <v>26.6</v>
      </c>
      <c r="AG194" s="196">
        <v>0.0</v>
      </c>
      <c r="AI194" s="199">
        <v>1167.25</v>
      </c>
      <c r="AJ194" s="196">
        <v>0.0934</v>
      </c>
    </row>
    <row r="195" ht="15.75" customHeight="1">
      <c r="A195" s="177"/>
      <c r="B195" s="178">
        <v>44353.0</v>
      </c>
      <c r="C195" s="188">
        <v>15799.35</v>
      </c>
      <c r="D195" s="189">
        <v>0.0082</v>
      </c>
      <c r="F195" s="190">
        <v>125.7</v>
      </c>
      <c r="G195" s="189">
        <v>0.1623</v>
      </c>
      <c r="Z195" s="198">
        <v>113.55</v>
      </c>
      <c r="AA195" s="196">
        <v>-0.0442</v>
      </c>
      <c r="AC195" s="190">
        <v>129.16</v>
      </c>
      <c r="AD195" s="189">
        <v>-0.054</v>
      </c>
      <c r="AF195" s="197">
        <v>26.6</v>
      </c>
      <c r="AG195" s="196">
        <v>-0.0093</v>
      </c>
      <c r="AI195" s="199">
        <v>1067.55</v>
      </c>
      <c r="AJ195" s="196">
        <v>-0.1233</v>
      </c>
    </row>
    <row r="196" ht="15.75" customHeight="1">
      <c r="A196" s="177"/>
      <c r="B196" s="178" t="s">
        <v>439</v>
      </c>
      <c r="C196" s="188">
        <v>15670.25</v>
      </c>
      <c r="D196" s="189">
        <v>0.0152</v>
      </c>
      <c r="F196" s="190">
        <v>108.15</v>
      </c>
      <c r="G196" s="189">
        <v>0.0266</v>
      </c>
      <c r="Z196" s="198">
        <v>118.8</v>
      </c>
      <c r="AA196" s="196">
        <v>0.0631</v>
      </c>
      <c r="AC196" s="190">
        <v>136.53</v>
      </c>
      <c r="AD196" s="189">
        <v>0.0891</v>
      </c>
      <c r="AF196" s="197">
        <v>26.85</v>
      </c>
      <c r="AG196" s="196">
        <v>0.0287</v>
      </c>
      <c r="AI196" s="199">
        <v>1217.7</v>
      </c>
      <c r="AJ196" s="196">
        <v>-0.0466</v>
      </c>
    </row>
    <row r="197" ht="15.75" customHeight="1">
      <c r="A197" s="177"/>
      <c r="B197" s="178" t="s">
        <v>440</v>
      </c>
      <c r="C197" s="188">
        <v>15435.65</v>
      </c>
      <c r="D197" s="189">
        <v>0.0172</v>
      </c>
      <c r="F197" s="190">
        <v>105.35</v>
      </c>
      <c r="G197" s="189">
        <v>0.0043</v>
      </c>
      <c r="Z197" s="198">
        <v>111.75</v>
      </c>
      <c r="AA197" s="196">
        <v>0.0257</v>
      </c>
      <c r="AC197" s="190">
        <v>125.36</v>
      </c>
      <c r="AD197" s="189">
        <v>0.0031</v>
      </c>
      <c r="AF197" s="197">
        <v>26.1</v>
      </c>
      <c r="AG197" s="196">
        <v>0.0058</v>
      </c>
      <c r="AI197" s="199">
        <v>1277.25</v>
      </c>
      <c r="AJ197" s="196">
        <v>0.0309</v>
      </c>
    </row>
    <row r="198" ht="15.75" customHeight="1">
      <c r="A198" s="177"/>
      <c r="B198" s="178" t="s">
        <v>441</v>
      </c>
      <c r="C198" s="188">
        <v>15175.3</v>
      </c>
      <c r="D198" s="189">
        <v>0.0339</v>
      </c>
      <c r="F198" s="190">
        <v>104.9</v>
      </c>
      <c r="G198" s="189">
        <v>0.0335</v>
      </c>
      <c r="Z198" s="198">
        <v>108.95</v>
      </c>
      <c r="AA198" s="196">
        <v>-0.0346</v>
      </c>
      <c r="AC198" s="190">
        <v>124.97</v>
      </c>
      <c r="AD198" s="189">
        <v>-0.011</v>
      </c>
      <c r="AF198" s="197">
        <v>25.95</v>
      </c>
      <c r="AG198" s="196">
        <v>0.0137</v>
      </c>
      <c r="AI198" s="199">
        <v>1238.95</v>
      </c>
      <c r="AJ198" s="196">
        <v>-0.0464</v>
      </c>
    </row>
    <row r="199" ht="15.75" customHeight="1">
      <c r="A199" s="177"/>
      <c r="B199" s="178">
        <v>44444.0</v>
      </c>
      <c r="C199" s="188">
        <v>14677.8</v>
      </c>
      <c r="D199" s="189">
        <v>-0.0098</v>
      </c>
      <c r="F199" s="190">
        <v>101.5</v>
      </c>
      <c r="G199" s="189">
        <v>-0.0117</v>
      </c>
      <c r="Z199" s="198">
        <v>112.85</v>
      </c>
      <c r="AA199" s="196">
        <v>0.013</v>
      </c>
      <c r="AC199" s="190">
        <v>126.36</v>
      </c>
      <c r="AD199" s="189">
        <v>-0.0039</v>
      </c>
      <c r="AF199" s="197">
        <v>25.6</v>
      </c>
      <c r="AG199" s="196">
        <v>-0.0097</v>
      </c>
      <c r="AI199" s="199">
        <v>1299.2</v>
      </c>
      <c r="AJ199" s="196">
        <v>0.1941</v>
      </c>
    </row>
    <row r="200" ht="15.75" customHeight="1">
      <c r="A200" s="177"/>
      <c r="B200" s="178">
        <v>44232.0</v>
      </c>
      <c r="C200" s="188">
        <v>14823.15</v>
      </c>
      <c r="D200" s="189">
        <v>0.0131</v>
      </c>
      <c r="F200" s="190">
        <v>102.7</v>
      </c>
      <c r="G200" s="189">
        <v>0.0389</v>
      </c>
      <c r="Z200" s="198">
        <v>111.4</v>
      </c>
      <c r="AA200" s="196">
        <v>0.0604</v>
      </c>
      <c r="AC200" s="190">
        <v>126.86</v>
      </c>
      <c r="AD200" s="189">
        <v>0.0667</v>
      </c>
      <c r="AF200" s="197">
        <v>25.85</v>
      </c>
      <c r="AG200" s="196">
        <v>0.0594</v>
      </c>
      <c r="AI200" s="199">
        <v>1088.05</v>
      </c>
      <c r="AJ200" s="196">
        <v>-0.0135</v>
      </c>
    </row>
    <row r="201" ht="15.75" customHeight="1">
      <c r="A201" s="177"/>
      <c r="B201" s="178" t="s">
        <v>442</v>
      </c>
      <c r="C201" s="188">
        <v>14631.1</v>
      </c>
      <c r="D201" s="189">
        <v>0.0202</v>
      </c>
      <c r="F201" s="190">
        <v>98.85</v>
      </c>
      <c r="G201" s="189">
        <v>0.0335</v>
      </c>
      <c r="Z201" s="198">
        <v>105.05</v>
      </c>
      <c r="AA201" s="196">
        <v>0.0254</v>
      </c>
      <c r="AC201" s="190">
        <v>118.93</v>
      </c>
      <c r="AD201" s="189">
        <v>-0.025</v>
      </c>
      <c r="AF201" s="197">
        <v>24.4</v>
      </c>
      <c r="AG201" s="196">
        <v>0.0062</v>
      </c>
      <c r="AI201" s="199">
        <v>1102.9</v>
      </c>
      <c r="AJ201" s="196">
        <v>0.0824</v>
      </c>
    </row>
    <row r="202" ht="15.75" customHeight="1">
      <c r="A202" s="177"/>
      <c r="B202" s="178" t="s">
        <v>443</v>
      </c>
      <c r="C202" s="188">
        <v>14341.35</v>
      </c>
      <c r="D202" s="189">
        <v>-0.0189</v>
      </c>
      <c r="F202" s="190">
        <v>95.65</v>
      </c>
      <c r="G202" s="189">
        <v>-0.0154</v>
      </c>
      <c r="Z202" s="198">
        <v>102.45</v>
      </c>
      <c r="AA202" s="196">
        <v>-0.001</v>
      </c>
      <c r="AC202" s="190">
        <v>121.98</v>
      </c>
      <c r="AD202" s="189">
        <v>0.0421</v>
      </c>
      <c r="AF202" s="197">
        <v>24.25</v>
      </c>
      <c r="AG202" s="196">
        <v>-0.0061</v>
      </c>
      <c r="AI202" s="199">
        <v>1018.95</v>
      </c>
      <c r="AJ202" s="196">
        <v>-0.0318</v>
      </c>
    </row>
    <row r="203" ht="15.75" customHeight="1">
      <c r="A203" s="177"/>
      <c r="B203" s="178">
        <v>44504.0</v>
      </c>
      <c r="C203" s="188">
        <v>14617.85</v>
      </c>
      <c r="D203" s="189">
        <v>-0.0146</v>
      </c>
      <c r="F203" s="190">
        <v>97.15</v>
      </c>
      <c r="G203" s="189">
        <v>-0.0668</v>
      </c>
      <c r="Z203" s="198">
        <v>102.55</v>
      </c>
      <c r="AA203" s="196">
        <v>0.001</v>
      </c>
      <c r="AC203" s="190">
        <v>117.05</v>
      </c>
      <c r="AD203" s="189">
        <v>0.0062</v>
      </c>
      <c r="AF203" s="197">
        <v>24.4</v>
      </c>
      <c r="AG203" s="196">
        <v>0.0146</v>
      </c>
      <c r="AI203" s="199">
        <v>1052.4</v>
      </c>
      <c r="AJ203" s="196">
        <v>-0.0507</v>
      </c>
    </row>
    <row r="204" ht="15.75" customHeight="1">
      <c r="A204" s="177"/>
      <c r="B204" s="178">
        <v>44290.0</v>
      </c>
      <c r="C204" s="188">
        <v>14834.85</v>
      </c>
      <c r="D204" s="189">
        <v>-0.0022</v>
      </c>
      <c r="F204" s="190">
        <v>104.1</v>
      </c>
      <c r="G204" s="189">
        <v>-0.009</v>
      </c>
      <c r="Z204" s="198">
        <v>102.45</v>
      </c>
      <c r="AA204" s="196">
        <v>-0.0034</v>
      </c>
      <c r="AC204" s="190">
        <v>116.33</v>
      </c>
      <c r="AD204" s="189">
        <v>0.0074</v>
      </c>
      <c r="AF204" s="197">
        <v>24.05</v>
      </c>
      <c r="AG204" s="196">
        <v>-0.0082</v>
      </c>
      <c r="AI204" s="199">
        <v>1108.6</v>
      </c>
      <c r="AJ204" s="196">
        <v>-0.0299</v>
      </c>
    </row>
    <row r="205" ht="15.75" customHeight="1">
      <c r="A205" s="177"/>
      <c r="B205" s="178" t="s">
        <v>444</v>
      </c>
      <c r="C205" s="188">
        <v>14867.35</v>
      </c>
      <c r="D205" s="189">
        <v>0.0248</v>
      </c>
      <c r="F205" s="190">
        <v>105.05</v>
      </c>
      <c r="G205" s="189">
        <v>0.0155</v>
      </c>
      <c r="Z205" s="198">
        <v>102.8</v>
      </c>
      <c r="AA205" s="196">
        <v>-0.0473</v>
      </c>
      <c r="AC205" s="190">
        <v>115.47</v>
      </c>
      <c r="AD205" s="189">
        <v>-0.0476</v>
      </c>
      <c r="AF205" s="197">
        <v>24.25</v>
      </c>
      <c r="AG205" s="196">
        <v>-0.0162</v>
      </c>
      <c r="AI205" s="199">
        <v>1142.75</v>
      </c>
      <c r="AJ205" s="196">
        <v>-0.0149</v>
      </c>
    </row>
    <row r="206" ht="15.75" customHeight="1">
      <c r="A206" s="177"/>
      <c r="B206" s="178" t="s">
        <v>445</v>
      </c>
      <c r="C206" s="188">
        <v>14507.3</v>
      </c>
      <c r="D206" s="189">
        <v>-0.0161</v>
      </c>
      <c r="F206" s="190">
        <v>103.45</v>
      </c>
      <c r="G206" s="189">
        <v>-0.0067</v>
      </c>
      <c r="Z206" s="198">
        <v>107.9</v>
      </c>
      <c r="AA206" s="196">
        <v>0.0355</v>
      </c>
      <c r="AC206" s="190">
        <v>121.23</v>
      </c>
      <c r="AD206" s="189">
        <v>0.0191</v>
      </c>
      <c r="AF206" s="197">
        <v>24.65</v>
      </c>
      <c r="AG206" s="196">
        <v>0.0602</v>
      </c>
      <c r="AI206" s="199">
        <v>1160.05</v>
      </c>
      <c r="AJ206" s="196">
        <v>-0.0431</v>
      </c>
    </row>
    <row r="207" ht="15.75" customHeight="1">
      <c r="A207" s="177"/>
      <c r="B207" s="178" t="s">
        <v>446</v>
      </c>
      <c r="C207" s="188">
        <v>14744.0</v>
      </c>
      <c r="D207" s="189">
        <v>-0.0191</v>
      </c>
      <c r="F207" s="190">
        <v>104.15</v>
      </c>
      <c r="G207" s="189">
        <v>-0.0804</v>
      </c>
      <c r="Z207" s="198">
        <v>104.2</v>
      </c>
      <c r="AA207" s="196">
        <v>-0.0396</v>
      </c>
      <c r="AC207" s="190">
        <v>118.96</v>
      </c>
      <c r="AD207" s="189">
        <v>-0.0678</v>
      </c>
      <c r="AF207" s="197">
        <v>23.25</v>
      </c>
      <c r="AG207" s="196">
        <v>-0.0471</v>
      </c>
      <c r="AI207" s="199">
        <v>1212.35</v>
      </c>
      <c r="AJ207" s="196">
        <v>0.0166</v>
      </c>
    </row>
    <row r="208" ht="15.75" customHeight="1">
      <c r="A208" s="177"/>
      <c r="B208" s="178">
        <v>44380.0</v>
      </c>
      <c r="C208" s="188">
        <v>15030.95</v>
      </c>
      <c r="D208" s="189">
        <v>0.0062</v>
      </c>
      <c r="F208" s="190">
        <v>113.25</v>
      </c>
      <c r="G208" s="189">
        <v>0.055</v>
      </c>
      <c r="Z208" s="198">
        <v>108.5</v>
      </c>
      <c r="AA208" s="196">
        <v>-0.0055</v>
      </c>
      <c r="AC208" s="190">
        <v>127.61</v>
      </c>
      <c r="AD208" s="189">
        <v>0.0461</v>
      </c>
      <c r="AF208" s="197">
        <v>24.4</v>
      </c>
      <c r="AG208" s="196">
        <v>-0.0061</v>
      </c>
      <c r="AI208" s="199">
        <v>1192.6</v>
      </c>
      <c r="AJ208" s="196">
        <v>0.0276</v>
      </c>
    </row>
    <row r="209" ht="15.75" customHeight="1">
      <c r="A209" s="177"/>
      <c r="B209" s="178" t="s">
        <v>447</v>
      </c>
      <c r="C209" s="188">
        <v>14938.1</v>
      </c>
      <c r="D209" s="189">
        <v>0.0281</v>
      </c>
      <c r="F209" s="190">
        <v>107.35</v>
      </c>
      <c r="G209" s="189">
        <v>0.1282</v>
      </c>
      <c r="Z209" s="198">
        <v>109.1</v>
      </c>
      <c r="AA209" s="196">
        <v>0.0037</v>
      </c>
      <c r="AC209" s="190">
        <v>121.98</v>
      </c>
      <c r="AD209" s="189">
        <v>-9.0E-4</v>
      </c>
      <c r="AF209" s="197">
        <v>24.55</v>
      </c>
      <c r="AG209" s="196">
        <v>-0.0466</v>
      </c>
      <c r="AI209" s="199">
        <v>1160.6</v>
      </c>
      <c r="AJ209" s="196">
        <v>-0.0104</v>
      </c>
    </row>
    <row r="210" ht="15.75" customHeight="1">
      <c r="A210" s="177"/>
      <c r="B210" s="178" t="s">
        <v>448</v>
      </c>
      <c r="C210" s="188">
        <v>14529.15</v>
      </c>
      <c r="D210" s="189">
        <v>-0.0302</v>
      </c>
      <c r="F210" s="190">
        <v>95.15</v>
      </c>
      <c r="G210" s="189">
        <v>0.0445</v>
      </c>
      <c r="Z210" s="198">
        <v>108.7</v>
      </c>
      <c r="AA210" s="196">
        <v>0.013</v>
      </c>
      <c r="AC210" s="190">
        <v>122.09</v>
      </c>
      <c r="AD210" s="189">
        <v>0.0278</v>
      </c>
      <c r="AF210" s="197">
        <v>25.75</v>
      </c>
      <c r="AG210" s="196">
        <v>0.0663</v>
      </c>
      <c r="AI210" s="199">
        <v>1172.75</v>
      </c>
      <c r="AJ210" s="196">
        <v>0.0111</v>
      </c>
    </row>
    <row r="211" ht="15.75" customHeight="1">
      <c r="A211" s="177"/>
      <c r="B211" s="178" t="s">
        <v>449</v>
      </c>
      <c r="C211" s="188">
        <v>14981.75</v>
      </c>
      <c r="D211" s="189">
        <v>-0.012</v>
      </c>
      <c r="F211" s="190">
        <v>91.1</v>
      </c>
      <c r="G211" s="189">
        <v>0.0435</v>
      </c>
      <c r="Z211" s="198">
        <v>107.3</v>
      </c>
      <c r="AA211" s="196">
        <v>0.0298</v>
      </c>
      <c r="AC211" s="190">
        <v>118.79</v>
      </c>
      <c r="AD211" s="189">
        <v>-0.0771</v>
      </c>
      <c r="AF211" s="197">
        <v>24.15</v>
      </c>
      <c r="AG211" s="196">
        <v>-0.0658</v>
      </c>
      <c r="AI211" s="199">
        <v>1159.85</v>
      </c>
      <c r="AJ211" s="196">
        <v>0.0377</v>
      </c>
    </row>
    <row r="212" ht="15.75" customHeight="1">
      <c r="A212" s="177"/>
      <c r="B212" s="178">
        <v>44379.0</v>
      </c>
      <c r="C212" s="188">
        <v>15163.3</v>
      </c>
      <c r="D212" s="189">
        <v>0.016</v>
      </c>
      <c r="F212" s="190">
        <v>87.3</v>
      </c>
      <c r="G212" s="189">
        <v>-0.0017</v>
      </c>
      <c r="Z212" s="198">
        <v>104.2</v>
      </c>
      <c r="AA212" s="196">
        <v>0.086</v>
      </c>
      <c r="AC212" s="190">
        <v>128.72</v>
      </c>
      <c r="AD212" s="189">
        <v>0.0919</v>
      </c>
      <c r="AF212" s="197">
        <v>25.85</v>
      </c>
      <c r="AG212" s="196">
        <v>0.0319</v>
      </c>
      <c r="AI212" s="199">
        <v>1117.7</v>
      </c>
      <c r="AJ212" s="196">
        <v>0.0456</v>
      </c>
    </row>
    <row r="213" ht="15.75" customHeight="1">
      <c r="A213" s="171"/>
      <c r="B213" s="171"/>
      <c r="C213" s="240"/>
      <c r="Z213" s="198">
        <v>95.95</v>
      </c>
      <c r="AA213" s="196">
        <v>-0.0357</v>
      </c>
      <c r="AC213" s="190">
        <v>117.88</v>
      </c>
      <c r="AD213" s="189">
        <v>0.0268</v>
      </c>
      <c r="AF213" s="197">
        <v>25.05</v>
      </c>
      <c r="AG213" s="196">
        <v>0.0224</v>
      </c>
      <c r="AI213" s="199">
        <v>1068.95</v>
      </c>
      <c r="AJ213" s="196">
        <v>-0.0076</v>
      </c>
    </row>
    <row r="214" ht="15.75" customHeight="1">
      <c r="A214" s="171"/>
      <c r="B214" s="171"/>
      <c r="C214" s="240"/>
      <c r="Z214" s="165"/>
      <c r="AA214" s="166"/>
      <c r="AC214" s="165"/>
      <c r="AD214" s="166"/>
      <c r="AF214" s="165"/>
      <c r="AG214" s="166"/>
      <c r="AI214" s="165"/>
      <c r="AJ214" s="166"/>
    </row>
    <row r="215" ht="15.75" customHeight="1">
      <c r="A215" s="171"/>
      <c r="B215" s="171"/>
      <c r="C215" s="240"/>
      <c r="Z215" s="165"/>
      <c r="AA215" s="166"/>
      <c r="AC215" s="165"/>
      <c r="AD215" s="166"/>
      <c r="AF215" s="165"/>
      <c r="AG215" s="166"/>
      <c r="AI215" s="165"/>
      <c r="AJ215" s="166"/>
    </row>
    <row r="216" ht="15.75" customHeight="1">
      <c r="A216" s="171"/>
      <c r="B216" s="171"/>
      <c r="C216" s="240"/>
      <c r="Z216" s="165"/>
      <c r="AA216" s="166"/>
      <c r="AC216" s="165"/>
      <c r="AD216" s="166"/>
      <c r="AF216" s="165"/>
      <c r="AG216" s="166"/>
      <c r="AI216" s="165"/>
      <c r="AJ216" s="166"/>
    </row>
    <row r="217" ht="15.75" customHeight="1">
      <c r="A217" s="171"/>
      <c r="B217" s="171"/>
      <c r="C217" s="240"/>
      <c r="Z217" s="165"/>
      <c r="AA217" s="166"/>
      <c r="AC217" s="165"/>
      <c r="AD217" s="166"/>
      <c r="AF217" s="165"/>
      <c r="AG217" s="166"/>
      <c r="AI217" s="165"/>
      <c r="AJ217" s="166"/>
    </row>
    <row r="218" ht="15.75" customHeight="1">
      <c r="A218" s="171"/>
      <c r="B218" s="171"/>
      <c r="C218" s="240"/>
      <c r="Z218" s="165"/>
      <c r="AA218" s="166"/>
      <c r="AC218" s="165"/>
      <c r="AD218" s="166"/>
      <c r="AF218" s="165"/>
      <c r="AG218" s="166"/>
      <c r="AI218" s="165"/>
      <c r="AJ218" s="166"/>
    </row>
    <row r="219" ht="15.75" customHeight="1">
      <c r="A219" s="171"/>
      <c r="B219" s="171"/>
      <c r="C219" s="240"/>
      <c r="Z219" s="165"/>
      <c r="AA219" s="166"/>
      <c r="AC219" s="165"/>
      <c r="AD219" s="166"/>
      <c r="AF219" s="165"/>
      <c r="AG219" s="166"/>
      <c r="AI219" s="165"/>
      <c r="AJ219" s="166"/>
    </row>
    <row r="220" ht="15.75" customHeight="1">
      <c r="A220" s="171"/>
      <c r="B220" s="171"/>
      <c r="C220" s="240"/>
      <c r="Z220" s="165"/>
      <c r="AA220" s="166"/>
      <c r="AC220" s="165"/>
      <c r="AD220" s="166"/>
      <c r="AF220" s="165"/>
      <c r="AG220" s="166"/>
      <c r="AI220" s="165"/>
      <c r="AJ220" s="166"/>
    </row>
    <row r="221" ht="15.75" customHeight="1">
      <c r="A221" s="171"/>
      <c r="B221" s="171"/>
      <c r="C221" s="240"/>
      <c r="Z221" s="165"/>
      <c r="AA221" s="166"/>
      <c r="AC221" s="165"/>
      <c r="AD221" s="166"/>
      <c r="AF221" s="165"/>
      <c r="AG221" s="166"/>
      <c r="AI221" s="165"/>
      <c r="AJ221" s="166"/>
    </row>
    <row r="222" ht="15.75" customHeight="1">
      <c r="A222" s="171"/>
      <c r="B222" s="171"/>
      <c r="C222" s="240"/>
      <c r="Z222" s="165"/>
      <c r="AA222" s="166"/>
      <c r="AC222" s="165"/>
      <c r="AD222" s="166"/>
      <c r="AF222" s="165"/>
      <c r="AG222" s="166"/>
      <c r="AI222" s="165"/>
      <c r="AJ222" s="166"/>
    </row>
    <row r="223" ht="15.75" customHeight="1">
      <c r="A223" s="171"/>
      <c r="B223" s="171"/>
      <c r="C223" s="240"/>
      <c r="Z223" s="165"/>
      <c r="AA223" s="166"/>
      <c r="AC223" s="165"/>
      <c r="AD223" s="166"/>
      <c r="AF223" s="165"/>
      <c r="AG223" s="166"/>
      <c r="AI223" s="165"/>
      <c r="AJ223" s="166"/>
    </row>
    <row r="224" ht="15.75" customHeight="1">
      <c r="A224" s="171"/>
      <c r="B224" s="171"/>
      <c r="C224" s="240"/>
      <c r="Z224" s="165"/>
      <c r="AA224" s="166"/>
      <c r="AC224" s="165"/>
      <c r="AD224" s="166"/>
      <c r="AF224" s="165"/>
      <c r="AG224" s="166"/>
      <c r="AI224" s="165"/>
      <c r="AJ224" s="166"/>
    </row>
    <row r="225" ht="15.75" customHeight="1">
      <c r="A225" s="171"/>
      <c r="B225" s="171"/>
      <c r="C225" s="240"/>
      <c r="Z225" s="165"/>
      <c r="AA225" s="166"/>
      <c r="AC225" s="165"/>
      <c r="AD225" s="166"/>
      <c r="AF225" s="165"/>
      <c r="AG225" s="166"/>
      <c r="AI225" s="165"/>
      <c r="AJ225" s="166"/>
    </row>
    <row r="226" ht="15.75" customHeight="1">
      <c r="A226" s="171"/>
      <c r="B226" s="171"/>
      <c r="C226" s="240"/>
      <c r="Z226" s="165"/>
      <c r="AA226" s="166"/>
      <c r="AC226" s="165"/>
      <c r="AD226" s="166"/>
      <c r="AF226" s="165"/>
      <c r="AG226" s="166"/>
      <c r="AI226" s="165"/>
      <c r="AJ226" s="166"/>
    </row>
    <row r="227" ht="15.75" customHeight="1">
      <c r="A227" s="171"/>
      <c r="B227" s="171"/>
      <c r="C227" s="240"/>
      <c r="Z227" s="165"/>
      <c r="AA227" s="166"/>
      <c r="AC227" s="165"/>
      <c r="AD227" s="166"/>
      <c r="AF227" s="165"/>
      <c r="AG227" s="166"/>
      <c r="AI227" s="165"/>
      <c r="AJ227" s="166"/>
    </row>
    <row r="228" ht="15.75" customHeight="1">
      <c r="A228" s="171"/>
      <c r="B228" s="171"/>
      <c r="C228" s="240"/>
      <c r="Z228" s="165"/>
      <c r="AA228" s="166"/>
      <c r="AC228" s="165"/>
      <c r="AD228" s="166"/>
      <c r="AF228" s="165"/>
      <c r="AG228" s="166"/>
      <c r="AI228" s="165"/>
      <c r="AJ228" s="166"/>
    </row>
    <row r="229" ht="15.75" customHeight="1">
      <c r="A229" s="171"/>
      <c r="B229" s="171"/>
      <c r="C229" s="240"/>
      <c r="Z229" s="165"/>
      <c r="AA229" s="166"/>
      <c r="AC229" s="165"/>
      <c r="AD229" s="166"/>
      <c r="AF229" s="165"/>
      <c r="AG229" s="166"/>
      <c r="AI229" s="165"/>
      <c r="AJ229" s="166"/>
    </row>
    <row r="230" ht="15.75" customHeight="1">
      <c r="A230" s="171"/>
      <c r="B230" s="171"/>
      <c r="C230" s="240"/>
      <c r="Z230" s="165"/>
      <c r="AA230" s="166"/>
      <c r="AC230" s="165"/>
      <c r="AD230" s="166"/>
      <c r="AF230" s="165"/>
      <c r="AG230" s="166"/>
      <c r="AI230" s="165"/>
      <c r="AJ230" s="166"/>
    </row>
    <row r="231" ht="15.75" customHeight="1">
      <c r="A231" s="171"/>
      <c r="B231" s="171"/>
      <c r="C231" s="240"/>
      <c r="Z231" s="165"/>
      <c r="AA231" s="166"/>
      <c r="AC231" s="165"/>
      <c r="AD231" s="166"/>
      <c r="AF231" s="165"/>
      <c r="AG231" s="166"/>
      <c r="AI231" s="165"/>
      <c r="AJ231" s="166"/>
    </row>
    <row r="232" ht="15.75" customHeight="1">
      <c r="A232" s="171"/>
      <c r="B232" s="171"/>
      <c r="C232" s="240"/>
      <c r="Z232" s="165"/>
      <c r="AA232" s="166"/>
      <c r="AC232" s="165"/>
      <c r="AD232" s="166"/>
      <c r="AF232" s="165"/>
      <c r="AG232" s="166"/>
      <c r="AI232" s="165"/>
      <c r="AJ232" s="166"/>
    </row>
    <row r="233" ht="15.75" customHeight="1">
      <c r="A233" s="171"/>
      <c r="B233" s="171"/>
      <c r="C233" s="240"/>
      <c r="Z233" s="165"/>
      <c r="AA233" s="166"/>
      <c r="AC233" s="165"/>
      <c r="AD233" s="166"/>
      <c r="AF233" s="165"/>
      <c r="AG233" s="166"/>
      <c r="AI233" s="165"/>
      <c r="AJ233" s="166"/>
    </row>
    <row r="234" ht="15.75" customHeight="1">
      <c r="A234" s="171"/>
      <c r="B234" s="171"/>
      <c r="C234" s="240"/>
      <c r="Z234" s="165"/>
      <c r="AA234" s="166"/>
      <c r="AC234" s="165"/>
      <c r="AD234" s="166"/>
      <c r="AF234" s="165"/>
      <c r="AG234" s="166"/>
      <c r="AI234" s="165"/>
      <c r="AJ234" s="166"/>
    </row>
    <row r="235" ht="15.75" customHeight="1">
      <c r="A235" s="171"/>
      <c r="B235" s="171"/>
      <c r="C235" s="240"/>
      <c r="Z235" s="165"/>
      <c r="AA235" s="166"/>
      <c r="AC235" s="165"/>
      <c r="AD235" s="166"/>
      <c r="AF235" s="165"/>
      <c r="AG235" s="166"/>
      <c r="AI235" s="165"/>
      <c r="AJ235" s="166"/>
    </row>
    <row r="236" ht="15.75" customHeight="1">
      <c r="A236" s="171"/>
      <c r="B236" s="171"/>
      <c r="C236" s="240"/>
      <c r="Z236" s="165"/>
      <c r="AA236" s="166"/>
      <c r="AC236" s="165"/>
      <c r="AD236" s="166"/>
      <c r="AF236" s="165"/>
      <c r="AG236" s="166"/>
      <c r="AI236" s="165"/>
      <c r="AJ236" s="166"/>
    </row>
    <row r="237" ht="15.75" customHeight="1">
      <c r="A237" s="171"/>
      <c r="B237" s="171"/>
      <c r="C237" s="240"/>
      <c r="Z237" s="165"/>
      <c r="AA237" s="166"/>
      <c r="AC237" s="165"/>
      <c r="AD237" s="166"/>
      <c r="AF237" s="165"/>
      <c r="AG237" s="166"/>
      <c r="AI237" s="165"/>
      <c r="AJ237" s="166"/>
    </row>
    <row r="238" ht="15.75" customHeight="1">
      <c r="A238" s="171"/>
      <c r="B238" s="171"/>
      <c r="C238" s="240"/>
      <c r="Z238" s="165"/>
      <c r="AA238" s="166"/>
      <c r="AC238" s="165"/>
      <c r="AD238" s="166"/>
      <c r="AF238" s="165"/>
      <c r="AG238" s="166"/>
      <c r="AI238" s="165"/>
      <c r="AJ238" s="166"/>
    </row>
    <row r="239" ht="15.75" customHeight="1">
      <c r="A239" s="171"/>
      <c r="B239" s="171"/>
      <c r="C239" s="240"/>
      <c r="Z239" s="165"/>
      <c r="AA239" s="166"/>
      <c r="AC239" s="165"/>
      <c r="AD239" s="166"/>
      <c r="AF239" s="165"/>
      <c r="AG239" s="166"/>
      <c r="AI239" s="165"/>
      <c r="AJ239" s="166"/>
    </row>
    <row r="240" ht="15.75" customHeight="1">
      <c r="A240" s="171"/>
      <c r="B240" s="171"/>
      <c r="C240" s="240"/>
      <c r="Z240" s="165"/>
      <c r="AA240" s="166"/>
      <c r="AC240" s="165"/>
      <c r="AD240" s="166"/>
      <c r="AF240" s="165"/>
      <c r="AG240" s="166"/>
      <c r="AI240" s="165"/>
      <c r="AJ240" s="166"/>
    </row>
    <row r="241" ht="15.75" customHeight="1">
      <c r="A241" s="171"/>
      <c r="B241" s="171"/>
      <c r="C241" s="240"/>
      <c r="Z241" s="165"/>
      <c r="AA241" s="166"/>
      <c r="AC241" s="165"/>
      <c r="AD241" s="166"/>
      <c r="AF241" s="165"/>
      <c r="AG241" s="166"/>
      <c r="AI241" s="165"/>
      <c r="AJ241" s="166"/>
    </row>
    <row r="242" ht="15.75" customHeight="1">
      <c r="A242" s="171"/>
      <c r="B242" s="171"/>
      <c r="C242" s="240"/>
      <c r="Z242" s="165"/>
      <c r="AA242" s="166"/>
      <c r="AC242" s="165"/>
      <c r="AD242" s="166"/>
      <c r="AF242" s="165"/>
      <c r="AG242" s="166"/>
      <c r="AI242" s="165"/>
      <c r="AJ242" s="166"/>
    </row>
    <row r="243" ht="15.75" customHeight="1">
      <c r="A243" s="171"/>
      <c r="B243" s="171"/>
      <c r="C243" s="240"/>
      <c r="Z243" s="165"/>
      <c r="AA243" s="166"/>
      <c r="AC243" s="165"/>
      <c r="AD243" s="166"/>
      <c r="AF243" s="165"/>
      <c r="AG243" s="166"/>
      <c r="AI243" s="165"/>
      <c r="AJ243" s="166"/>
    </row>
    <row r="244" ht="15.75" customHeight="1">
      <c r="A244" s="171"/>
      <c r="B244" s="171"/>
      <c r="C244" s="240"/>
      <c r="Z244" s="165"/>
      <c r="AA244" s="166"/>
      <c r="AC244" s="165"/>
      <c r="AD244" s="166"/>
      <c r="AF244" s="165"/>
      <c r="AG244" s="166"/>
      <c r="AI244" s="165"/>
      <c r="AJ244" s="166"/>
    </row>
    <row r="245" ht="15.75" customHeight="1">
      <c r="A245" s="171"/>
      <c r="B245" s="171"/>
      <c r="C245" s="240"/>
      <c r="Z245" s="165"/>
      <c r="AA245" s="166"/>
      <c r="AC245" s="165"/>
      <c r="AD245" s="166"/>
      <c r="AF245" s="165"/>
      <c r="AG245" s="166"/>
      <c r="AI245" s="165"/>
      <c r="AJ245" s="166"/>
    </row>
    <row r="246" ht="15.75" customHeight="1">
      <c r="A246" s="171"/>
      <c r="B246" s="171"/>
      <c r="C246" s="240"/>
      <c r="Z246" s="165"/>
      <c r="AA246" s="166"/>
      <c r="AC246" s="165"/>
      <c r="AD246" s="166"/>
      <c r="AF246" s="165"/>
      <c r="AG246" s="166"/>
      <c r="AI246" s="165"/>
      <c r="AJ246" s="166"/>
    </row>
    <row r="247" ht="15.75" customHeight="1">
      <c r="A247" s="171"/>
      <c r="B247" s="171"/>
      <c r="C247" s="240"/>
      <c r="Z247" s="165"/>
      <c r="AA247" s="166"/>
      <c r="AC247" s="165"/>
      <c r="AD247" s="166"/>
      <c r="AF247" s="165"/>
      <c r="AG247" s="166"/>
      <c r="AI247" s="165"/>
      <c r="AJ247" s="166"/>
    </row>
    <row r="248" ht="15.75" customHeight="1">
      <c r="A248" s="171"/>
      <c r="B248" s="171"/>
      <c r="C248" s="240"/>
      <c r="Z248" s="165"/>
      <c r="AA248" s="166"/>
      <c r="AC248" s="165"/>
      <c r="AD248" s="166"/>
      <c r="AF248" s="165"/>
      <c r="AG248" s="166"/>
      <c r="AI248" s="165"/>
      <c r="AJ248" s="166"/>
    </row>
    <row r="249" ht="15.75" customHeight="1">
      <c r="A249" s="171"/>
      <c r="B249" s="171"/>
      <c r="C249" s="240"/>
      <c r="Z249" s="165"/>
      <c r="AA249" s="166"/>
      <c r="AC249" s="165"/>
      <c r="AD249" s="166"/>
      <c r="AF249" s="165"/>
      <c r="AG249" s="166"/>
      <c r="AI249" s="165"/>
      <c r="AJ249" s="166"/>
    </row>
    <row r="250" ht="15.75" customHeight="1">
      <c r="A250" s="164"/>
      <c r="B250" s="164"/>
      <c r="Z250" s="165"/>
      <c r="AA250" s="166"/>
      <c r="AC250" s="165"/>
      <c r="AD250" s="166"/>
      <c r="AF250" s="165"/>
      <c r="AG250" s="166"/>
      <c r="AI250" s="165"/>
      <c r="AJ250" s="166"/>
    </row>
    <row r="251" ht="15.75" customHeight="1">
      <c r="A251" s="164"/>
      <c r="B251" s="164"/>
      <c r="Z251" s="165"/>
      <c r="AA251" s="166"/>
      <c r="AC251" s="165"/>
      <c r="AD251" s="166"/>
      <c r="AF251" s="165"/>
      <c r="AG251" s="166"/>
      <c r="AI251" s="165"/>
      <c r="AJ251" s="166"/>
    </row>
    <row r="252" ht="15.75" customHeight="1">
      <c r="A252" s="164"/>
      <c r="B252" s="164"/>
      <c r="Z252" s="165"/>
      <c r="AA252" s="166"/>
      <c r="AC252" s="165"/>
      <c r="AD252" s="166"/>
      <c r="AF252" s="165"/>
      <c r="AG252" s="166"/>
      <c r="AI252" s="165"/>
      <c r="AJ252" s="166"/>
    </row>
    <row r="253" ht="15.75" customHeight="1">
      <c r="A253" s="164"/>
      <c r="B253" s="164"/>
      <c r="Z253" s="165"/>
      <c r="AA253" s="166"/>
      <c r="AC253" s="165"/>
      <c r="AD253" s="166"/>
      <c r="AF253" s="165"/>
      <c r="AG253" s="166"/>
      <c r="AI253" s="165"/>
      <c r="AJ253" s="166"/>
    </row>
    <row r="254" ht="15.75" customHeight="1">
      <c r="A254" s="164"/>
      <c r="B254" s="164"/>
      <c r="Z254" s="165"/>
      <c r="AA254" s="166"/>
      <c r="AC254" s="165"/>
      <c r="AD254" s="166"/>
      <c r="AF254" s="165"/>
      <c r="AG254" s="166"/>
      <c r="AI254" s="165"/>
      <c r="AJ254" s="166"/>
    </row>
    <row r="255" ht="15.75" customHeight="1">
      <c r="A255" s="164"/>
      <c r="B255" s="164"/>
      <c r="Z255" s="165"/>
      <c r="AA255" s="166"/>
      <c r="AC255" s="165"/>
      <c r="AD255" s="166"/>
      <c r="AF255" s="165"/>
      <c r="AG255" s="166"/>
      <c r="AI255" s="165"/>
      <c r="AJ255" s="166"/>
    </row>
    <row r="256" ht="15.75" customHeight="1">
      <c r="A256" s="164"/>
      <c r="B256" s="164"/>
      <c r="Z256" s="165"/>
      <c r="AA256" s="166"/>
      <c r="AC256" s="165"/>
      <c r="AD256" s="166"/>
      <c r="AF256" s="165"/>
      <c r="AG256" s="166"/>
      <c r="AI256" s="165"/>
      <c r="AJ256" s="166"/>
    </row>
    <row r="257" ht="15.75" customHeight="1">
      <c r="A257" s="164"/>
      <c r="B257" s="164"/>
      <c r="Z257" s="165"/>
      <c r="AA257" s="166"/>
      <c r="AC257" s="165"/>
      <c r="AD257" s="166"/>
      <c r="AF257" s="165"/>
      <c r="AG257" s="166"/>
      <c r="AI257" s="165"/>
      <c r="AJ257" s="166"/>
    </row>
    <row r="258" ht="15.75" customHeight="1">
      <c r="A258" s="164"/>
      <c r="B258" s="164"/>
      <c r="Z258" s="165"/>
      <c r="AA258" s="166"/>
      <c r="AC258" s="165"/>
      <c r="AD258" s="166"/>
      <c r="AF258" s="165"/>
      <c r="AG258" s="166"/>
      <c r="AI258" s="165"/>
      <c r="AJ258" s="166"/>
    </row>
    <row r="259" ht="15.75" customHeight="1">
      <c r="A259" s="164"/>
      <c r="B259" s="164"/>
      <c r="Z259" s="165"/>
      <c r="AA259" s="166"/>
      <c r="AC259" s="165"/>
      <c r="AD259" s="166"/>
      <c r="AF259" s="165"/>
      <c r="AG259" s="166"/>
      <c r="AI259" s="165"/>
      <c r="AJ259" s="166"/>
    </row>
    <row r="260" ht="15.75" customHeight="1">
      <c r="A260" s="164"/>
      <c r="B260" s="164"/>
      <c r="Z260" s="165"/>
      <c r="AA260" s="166"/>
      <c r="AC260" s="165"/>
      <c r="AD260" s="166"/>
      <c r="AF260" s="165"/>
      <c r="AG260" s="166"/>
      <c r="AI260" s="165"/>
      <c r="AJ260" s="166"/>
    </row>
    <row r="261" ht="15.75" customHeight="1">
      <c r="A261" s="164"/>
      <c r="B261" s="164"/>
      <c r="Z261" s="165"/>
      <c r="AA261" s="166"/>
      <c r="AC261" s="165"/>
      <c r="AD261" s="166"/>
      <c r="AF261" s="165"/>
      <c r="AG261" s="166"/>
      <c r="AI261" s="165"/>
      <c r="AJ261" s="166"/>
    </row>
    <row r="262" ht="15.75" customHeight="1">
      <c r="A262" s="164"/>
      <c r="B262" s="164"/>
      <c r="Z262" s="165"/>
      <c r="AA262" s="166"/>
      <c r="AC262" s="165"/>
      <c r="AD262" s="166"/>
      <c r="AF262" s="165"/>
      <c r="AG262" s="166"/>
      <c r="AI262" s="165"/>
      <c r="AJ262" s="166"/>
    </row>
    <row r="263" ht="15.75" customHeight="1">
      <c r="A263" s="164"/>
      <c r="B263" s="164"/>
      <c r="Z263" s="165"/>
      <c r="AA263" s="166"/>
      <c r="AC263" s="165"/>
      <c r="AD263" s="166"/>
      <c r="AF263" s="165"/>
      <c r="AG263" s="166"/>
      <c r="AI263" s="165"/>
      <c r="AJ263" s="166"/>
    </row>
    <row r="264" ht="15.75" customHeight="1">
      <c r="A264" s="164"/>
      <c r="B264" s="164"/>
      <c r="Z264" s="165"/>
      <c r="AA264" s="166"/>
      <c r="AC264" s="165"/>
      <c r="AD264" s="166"/>
      <c r="AF264" s="165"/>
      <c r="AG264" s="166"/>
      <c r="AI264" s="165"/>
      <c r="AJ264" s="166"/>
    </row>
    <row r="265" ht="15.75" customHeight="1">
      <c r="A265" s="164"/>
      <c r="B265" s="164"/>
      <c r="Z265" s="165"/>
      <c r="AA265" s="166"/>
      <c r="AC265" s="165"/>
      <c r="AD265" s="166"/>
      <c r="AF265" s="165"/>
      <c r="AG265" s="166"/>
      <c r="AI265" s="165"/>
      <c r="AJ265" s="166"/>
    </row>
    <row r="266" ht="15.75" customHeight="1">
      <c r="A266" s="164"/>
      <c r="B266" s="164"/>
      <c r="Z266" s="165"/>
      <c r="AA266" s="166"/>
      <c r="AC266" s="165"/>
      <c r="AD266" s="166"/>
      <c r="AF266" s="165"/>
      <c r="AG266" s="166"/>
      <c r="AI266" s="165"/>
      <c r="AJ266" s="166"/>
    </row>
    <row r="267" ht="15.75" customHeight="1">
      <c r="A267" s="164"/>
      <c r="B267" s="164"/>
      <c r="Z267" s="165"/>
      <c r="AA267" s="166"/>
      <c r="AC267" s="165"/>
      <c r="AD267" s="166"/>
      <c r="AF267" s="165"/>
      <c r="AG267" s="166"/>
      <c r="AI267" s="165"/>
      <c r="AJ267" s="166"/>
    </row>
    <row r="268" ht="15.75" customHeight="1">
      <c r="A268" s="164"/>
      <c r="B268" s="164"/>
      <c r="Z268" s="165"/>
      <c r="AA268" s="166"/>
      <c r="AC268" s="165"/>
      <c r="AD268" s="166"/>
      <c r="AF268" s="165"/>
      <c r="AG268" s="166"/>
      <c r="AI268" s="165"/>
      <c r="AJ268" s="166"/>
    </row>
    <row r="269" ht="15.75" customHeight="1">
      <c r="A269" s="164"/>
      <c r="B269" s="164"/>
      <c r="Z269" s="165"/>
      <c r="AA269" s="166"/>
      <c r="AC269" s="165"/>
      <c r="AD269" s="166"/>
      <c r="AF269" s="165"/>
      <c r="AG269" s="166"/>
      <c r="AI269" s="165"/>
      <c r="AJ269" s="166"/>
    </row>
    <row r="270" ht="15.75" customHeight="1">
      <c r="A270" s="164"/>
      <c r="B270" s="164"/>
      <c r="Z270" s="165"/>
      <c r="AA270" s="166"/>
      <c r="AC270" s="165"/>
      <c r="AD270" s="166"/>
      <c r="AF270" s="165"/>
      <c r="AG270" s="166"/>
      <c r="AI270" s="165"/>
      <c r="AJ270" s="166"/>
    </row>
    <row r="271" ht="15.75" customHeight="1">
      <c r="A271" s="164"/>
      <c r="B271" s="164"/>
      <c r="Z271" s="165"/>
      <c r="AA271" s="166"/>
      <c r="AC271" s="165"/>
      <c r="AD271" s="166"/>
      <c r="AF271" s="165"/>
      <c r="AG271" s="166"/>
      <c r="AI271" s="165"/>
      <c r="AJ271" s="166"/>
    </row>
    <row r="272" ht="15.75" customHeight="1">
      <c r="A272" s="164"/>
      <c r="B272" s="164"/>
      <c r="Z272" s="165"/>
      <c r="AA272" s="166"/>
      <c r="AC272" s="165"/>
      <c r="AD272" s="166"/>
      <c r="AF272" s="165"/>
      <c r="AG272" s="166"/>
      <c r="AI272" s="165"/>
      <c r="AJ272" s="166"/>
    </row>
    <row r="273" ht="15.75" customHeight="1">
      <c r="A273" s="164"/>
      <c r="B273" s="164"/>
      <c r="Z273" s="165"/>
      <c r="AA273" s="166"/>
      <c r="AC273" s="165"/>
      <c r="AD273" s="166"/>
      <c r="AF273" s="165"/>
      <c r="AG273" s="166"/>
      <c r="AI273" s="165"/>
      <c r="AJ273" s="166"/>
    </row>
    <row r="274" ht="15.75" customHeight="1">
      <c r="A274" s="164"/>
      <c r="B274" s="164"/>
      <c r="Z274" s="165"/>
      <c r="AA274" s="166"/>
      <c r="AC274" s="165"/>
      <c r="AD274" s="166"/>
      <c r="AF274" s="165"/>
      <c r="AG274" s="166"/>
      <c r="AI274" s="165"/>
      <c r="AJ274" s="166"/>
    </row>
    <row r="275" ht="15.75" customHeight="1">
      <c r="A275" s="164"/>
      <c r="B275" s="164"/>
      <c r="Z275" s="165"/>
      <c r="AA275" s="166"/>
      <c r="AC275" s="165"/>
      <c r="AD275" s="166"/>
      <c r="AF275" s="165"/>
      <c r="AG275" s="166"/>
      <c r="AI275" s="165"/>
      <c r="AJ275" s="166"/>
    </row>
    <row r="276" ht="15.75" customHeight="1">
      <c r="A276" s="164"/>
      <c r="B276" s="164"/>
      <c r="Z276" s="165"/>
      <c r="AA276" s="166"/>
      <c r="AC276" s="165"/>
      <c r="AD276" s="166"/>
      <c r="AF276" s="165"/>
      <c r="AG276" s="166"/>
      <c r="AI276" s="165"/>
      <c r="AJ276" s="166"/>
    </row>
    <row r="277" ht="15.75" customHeight="1">
      <c r="A277" s="164"/>
      <c r="B277" s="164"/>
      <c r="Z277" s="165"/>
      <c r="AA277" s="166"/>
      <c r="AC277" s="165"/>
      <c r="AD277" s="166"/>
      <c r="AF277" s="165"/>
      <c r="AG277" s="166"/>
      <c r="AI277" s="165"/>
      <c r="AJ277" s="166"/>
    </row>
    <row r="278" ht="15.75" customHeight="1">
      <c r="A278" s="164"/>
      <c r="B278" s="164"/>
      <c r="Z278" s="165"/>
      <c r="AA278" s="166"/>
      <c r="AC278" s="165"/>
      <c r="AD278" s="166"/>
      <c r="AF278" s="165"/>
      <c r="AG278" s="166"/>
      <c r="AI278" s="165"/>
      <c r="AJ278" s="166"/>
    </row>
    <row r="279" ht="15.75" customHeight="1">
      <c r="A279" s="164"/>
      <c r="B279" s="164"/>
      <c r="Z279" s="165"/>
      <c r="AA279" s="166"/>
      <c r="AC279" s="165"/>
      <c r="AD279" s="166"/>
      <c r="AF279" s="165"/>
      <c r="AG279" s="166"/>
      <c r="AI279" s="165"/>
      <c r="AJ279" s="166"/>
    </row>
    <row r="280" ht="15.75" customHeight="1">
      <c r="A280" s="164"/>
      <c r="B280" s="164"/>
      <c r="Z280" s="165"/>
      <c r="AA280" s="166"/>
      <c r="AC280" s="165"/>
      <c r="AD280" s="166"/>
      <c r="AF280" s="165"/>
      <c r="AG280" s="166"/>
      <c r="AI280" s="165"/>
      <c r="AJ280" s="166"/>
    </row>
    <row r="281" ht="15.75" customHeight="1">
      <c r="A281" s="164"/>
      <c r="B281" s="164"/>
      <c r="Z281" s="165"/>
      <c r="AA281" s="166"/>
      <c r="AC281" s="165"/>
      <c r="AD281" s="166"/>
      <c r="AF281" s="165"/>
      <c r="AG281" s="166"/>
      <c r="AI281" s="165"/>
      <c r="AJ281" s="166"/>
    </row>
    <row r="282" ht="15.75" customHeight="1">
      <c r="A282" s="164"/>
      <c r="B282" s="164"/>
      <c r="Z282" s="165"/>
      <c r="AA282" s="166"/>
      <c r="AC282" s="165"/>
      <c r="AD282" s="166"/>
      <c r="AF282" s="165"/>
      <c r="AG282" s="166"/>
      <c r="AI282" s="165"/>
      <c r="AJ282" s="166"/>
    </row>
    <row r="283" ht="15.75" customHeight="1">
      <c r="A283" s="164"/>
      <c r="B283" s="164"/>
      <c r="Z283" s="165"/>
      <c r="AA283" s="166"/>
      <c r="AC283" s="165"/>
      <c r="AD283" s="166"/>
      <c r="AF283" s="165"/>
      <c r="AG283" s="166"/>
      <c r="AI283" s="165"/>
      <c r="AJ283" s="166"/>
    </row>
    <row r="284" ht="15.75" customHeight="1">
      <c r="A284" s="164"/>
      <c r="B284" s="164"/>
      <c r="Z284" s="165"/>
      <c r="AA284" s="166"/>
      <c r="AC284" s="165"/>
      <c r="AD284" s="166"/>
      <c r="AF284" s="165"/>
      <c r="AG284" s="166"/>
      <c r="AI284" s="165"/>
      <c r="AJ284" s="166"/>
    </row>
    <row r="285" ht="15.75" customHeight="1">
      <c r="A285" s="164"/>
      <c r="B285" s="164"/>
      <c r="Z285" s="165"/>
      <c r="AA285" s="166"/>
      <c r="AC285" s="165"/>
      <c r="AD285" s="166"/>
      <c r="AF285" s="165"/>
      <c r="AG285" s="166"/>
      <c r="AI285" s="165"/>
      <c r="AJ285" s="166"/>
    </row>
    <row r="286" ht="15.75" customHeight="1">
      <c r="A286" s="164"/>
      <c r="B286" s="164"/>
      <c r="Z286" s="165"/>
      <c r="AA286" s="166"/>
      <c r="AC286" s="165"/>
      <c r="AD286" s="166"/>
      <c r="AF286" s="165"/>
      <c r="AG286" s="166"/>
      <c r="AI286" s="165"/>
      <c r="AJ286" s="166"/>
    </row>
    <row r="287" ht="15.75" customHeight="1">
      <c r="A287" s="164"/>
      <c r="B287" s="164"/>
      <c r="Z287" s="165"/>
      <c r="AA287" s="166"/>
      <c r="AC287" s="165"/>
      <c r="AD287" s="166"/>
      <c r="AF287" s="165"/>
      <c r="AG287" s="166"/>
      <c r="AI287" s="165"/>
      <c r="AJ287" s="166"/>
    </row>
    <row r="288" ht="15.75" customHeight="1">
      <c r="A288" s="164"/>
      <c r="B288" s="164"/>
      <c r="Z288" s="165"/>
      <c r="AA288" s="166"/>
      <c r="AC288" s="165"/>
      <c r="AD288" s="166"/>
      <c r="AF288" s="165"/>
      <c r="AG288" s="166"/>
      <c r="AI288" s="165"/>
      <c r="AJ288" s="166"/>
    </row>
    <row r="289" ht="15.75" customHeight="1">
      <c r="A289" s="164"/>
      <c r="B289" s="164"/>
      <c r="Z289" s="165"/>
      <c r="AA289" s="166"/>
      <c r="AC289" s="165"/>
      <c r="AD289" s="166"/>
      <c r="AF289" s="165"/>
      <c r="AG289" s="166"/>
      <c r="AI289" s="165"/>
      <c r="AJ289" s="166"/>
    </row>
    <row r="290" ht="15.75" customHeight="1">
      <c r="A290" s="164"/>
      <c r="B290" s="164"/>
      <c r="Z290" s="165"/>
      <c r="AA290" s="166"/>
      <c r="AC290" s="165"/>
      <c r="AD290" s="166"/>
      <c r="AF290" s="165"/>
      <c r="AG290" s="166"/>
      <c r="AI290" s="165"/>
      <c r="AJ290" s="166"/>
    </row>
    <row r="291" ht="15.75" customHeight="1">
      <c r="A291" s="164"/>
      <c r="B291" s="164"/>
      <c r="Z291" s="165"/>
      <c r="AA291" s="166"/>
      <c r="AC291" s="165"/>
      <c r="AD291" s="166"/>
      <c r="AF291" s="165"/>
      <c r="AG291" s="166"/>
      <c r="AI291" s="165"/>
      <c r="AJ291" s="166"/>
    </row>
    <row r="292" ht="15.75" customHeight="1">
      <c r="A292" s="164"/>
      <c r="B292" s="164"/>
      <c r="Z292" s="165"/>
      <c r="AA292" s="166"/>
      <c r="AC292" s="165"/>
      <c r="AD292" s="166"/>
      <c r="AF292" s="165"/>
      <c r="AG292" s="166"/>
      <c r="AI292" s="165"/>
      <c r="AJ292" s="166"/>
    </row>
    <row r="293" ht="15.75" customHeight="1">
      <c r="A293" s="164"/>
      <c r="B293" s="164"/>
      <c r="Z293" s="165"/>
      <c r="AA293" s="166"/>
      <c r="AC293" s="165"/>
      <c r="AD293" s="166"/>
      <c r="AF293" s="165"/>
      <c r="AG293" s="166"/>
      <c r="AI293" s="165"/>
      <c r="AJ293" s="166"/>
    </row>
    <row r="294" ht="15.75" customHeight="1">
      <c r="A294" s="164"/>
      <c r="B294" s="164"/>
      <c r="Z294" s="165"/>
      <c r="AA294" s="166"/>
      <c r="AC294" s="165"/>
      <c r="AD294" s="166"/>
      <c r="AF294" s="165"/>
      <c r="AG294" s="166"/>
      <c r="AI294" s="165"/>
      <c r="AJ294" s="166"/>
    </row>
    <row r="295" ht="15.75" customHeight="1">
      <c r="A295" s="164"/>
      <c r="B295" s="164"/>
      <c r="Z295" s="165"/>
      <c r="AA295" s="166"/>
      <c r="AC295" s="165"/>
      <c r="AD295" s="166"/>
      <c r="AF295" s="165"/>
      <c r="AG295" s="166"/>
      <c r="AI295" s="165"/>
      <c r="AJ295" s="166"/>
    </row>
    <row r="296" ht="15.75" customHeight="1">
      <c r="A296" s="164"/>
      <c r="B296" s="164"/>
      <c r="Z296" s="165"/>
      <c r="AA296" s="166"/>
      <c r="AC296" s="165"/>
      <c r="AD296" s="166"/>
      <c r="AF296" s="165"/>
      <c r="AG296" s="166"/>
      <c r="AI296" s="165"/>
      <c r="AJ296" s="166"/>
    </row>
    <row r="297" ht="15.75" customHeight="1">
      <c r="A297" s="164"/>
      <c r="B297" s="164"/>
      <c r="Z297" s="165"/>
      <c r="AA297" s="166"/>
      <c r="AC297" s="165"/>
      <c r="AD297" s="166"/>
      <c r="AF297" s="165"/>
      <c r="AG297" s="166"/>
      <c r="AI297" s="165"/>
      <c r="AJ297" s="166"/>
    </row>
    <row r="298" ht="15.75" customHeight="1">
      <c r="A298" s="164"/>
      <c r="B298" s="164"/>
      <c r="Z298" s="165"/>
      <c r="AA298" s="166"/>
      <c r="AC298" s="165"/>
      <c r="AD298" s="166"/>
      <c r="AF298" s="165"/>
      <c r="AG298" s="166"/>
      <c r="AI298" s="165"/>
      <c r="AJ298" s="166"/>
    </row>
    <row r="299" ht="15.75" customHeight="1">
      <c r="A299" s="164"/>
      <c r="B299" s="164"/>
      <c r="Z299" s="165"/>
      <c r="AA299" s="166"/>
      <c r="AC299" s="165"/>
      <c r="AD299" s="166"/>
      <c r="AF299" s="165"/>
      <c r="AG299" s="166"/>
      <c r="AI299" s="165"/>
      <c r="AJ299" s="166"/>
    </row>
    <row r="300" ht="15.75" customHeight="1">
      <c r="A300" s="164"/>
      <c r="B300" s="164"/>
      <c r="Z300" s="165"/>
      <c r="AA300" s="166"/>
      <c r="AC300" s="165"/>
      <c r="AD300" s="166"/>
      <c r="AF300" s="165"/>
      <c r="AG300" s="166"/>
      <c r="AI300" s="165"/>
      <c r="AJ300" s="166"/>
    </row>
    <row r="301" ht="15.75" customHeight="1">
      <c r="A301" s="164"/>
      <c r="B301" s="164"/>
      <c r="Z301" s="165"/>
      <c r="AA301" s="166"/>
      <c r="AC301" s="165"/>
      <c r="AD301" s="166"/>
      <c r="AF301" s="165"/>
      <c r="AG301" s="166"/>
      <c r="AI301" s="165"/>
      <c r="AJ301" s="166"/>
    </row>
    <row r="302" ht="15.75" customHeight="1">
      <c r="A302" s="164"/>
      <c r="B302" s="164"/>
      <c r="Z302" s="165"/>
      <c r="AA302" s="166"/>
      <c r="AC302" s="165"/>
      <c r="AD302" s="166"/>
      <c r="AF302" s="165"/>
      <c r="AG302" s="166"/>
      <c r="AI302" s="165"/>
      <c r="AJ302" s="166"/>
    </row>
    <row r="303" ht="15.75" customHeight="1">
      <c r="A303" s="164"/>
      <c r="B303" s="164"/>
      <c r="Z303" s="165"/>
      <c r="AA303" s="166"/>
      <c r="AC303" s="165"/>
      <c r="AD303" s="166"/>
      <c r="AF303" s="165"/>
      <c r="AG303" s="166"/>
      <c r="AI303" s="165"/>
      <c r="AJ303" s="166"/>
    </row>
    <row r="304" ht="15.75" customHeight="1">
      <c r="A304" s="164"/>
      <c r="B304" s="164"/>
      <c r="Z304" s="165"/>
      <c r="AA304" s="166"/>
      <c r="AC304" s="165"/>
      <c r="AD304" s="166"/>
      <c r="AF304" s="165"/>
      <c r="AG304" s="166"/>
      <c r="AI304" s="165"/>
      <c r="AJ304" s="166"/>
    </row>
    <row r="305" ht="15.75" customHeight="1">
      <c r="A305" s="164"/>
      <c r="B305" s="164"/>
      <c r="Z305" s="165"/>
      <c r="AA305" s="166"/>
      <c r="AC305" s="165"/>
      <c r="AD305" s="166"/>
      <c r="AF305" s="165"/>
      <c r="AG305" s="166"/>
      <c r="AI305" s="165"/>
      <c r="AJ305" s="166"/>
    </row>
    <row r="306" ht="15.75" customHeight="1">
      <c r="A306" s="164"/>
      <c r="B306" s="164"/>
      <c r="Z306" s="165"/>
      <c r="AA306" s="166"/>
      <c r="AC306" s="165"/>
      <c r="AD306" s="166"/>
      <c r="AF306" s="165"/>
      <c r="AG306" s="166"/>
      <c r="AI306" s="165"/>
      <c r="AJ306" s="166"/>
    </row>
    <row r="307" ht="15.75" customHeight="1">
      <c r="A307" s="164"/>
      <c r="B307" s="164"/>
      <c r="Z307" s="165"/>
      <c r="AA307" s="166"/>
      <c r="AC307" s="165"/>
      <c r="AD307" s="166"/>
      <c r="AF307" s="165"/>
      <c r="AG307" s="166"/>
      <c r="AI307" s="165"/>
      <c r="AJ307" s="166"/>
    </row>
    <row r="308" ht="15.75" customHeight="1">
      <c r="A308" s="164"/>
      <c r="B308" s="164"/>
      <c r="Z308" s="165"/>
      <c r="AA308" s="166"/>
      <c r="AC308" s="165"/>
      <c r="AD308" s="166"/>
      <c r="AF308" s="165"/>
      <c r="AG308" s="166"/>
      <c r="AI308" s="165"/>
      <c r="AJ308" s="166"/>
    </row>
    <row r="309" ht="15.75" customHeight="1">
      <c r="A309" s="164"/>
      <c r="B309" s="164"/>
      <c r="Z309" s="165"/>
      <c r="AA309" s="166"/>
      <c r="AC309" s="165"/>
      <c r="AD309" s="166"/>
      <c r="AF309" s="165"/>
      <c r="AG309" s="166"/>
      <c r="AI309" s="165"/>
      <c r="AJ309" s="166"/>
    </row>
    <row r="310" ht="15.75" customHeight="1">
      <c r="A310" s="164"/>
      <c r="B310" s="164"/>
      <c r="Z310" s="165"/>
      <c r="AA310" s="166"/>
      <c r="AC310" s="165"/>
      <c r="AD310" s="166"/>
      <c r="AF310" s="165"/>
      <c r="AG310" s="166"/>
      <c r="AI310" s="165"/>
      <c r="AJ310" s="166"/>
    </row>
    <row r="311" ht="15.75" customHeight="1">
      <c r="A311" s="164"/>
      <c r="B311" s="164"/>
      <c r="Z311" s="165"/>
      <c r="AA311" s="166"/>
      <c r="AC311" s="165"/>
      <c r="AD311" s="166"/>
      <c r="AF311" s="165"/>
      <c r="AG311" s="166"/>
      <c r="AI311" s="165"/>
      <c r="AJ311" s="166"/>
    </row>
    <row r="312" ht="15.75" customHeight="1">
      <c r="A312" s="164"/>
      <c r="B312" s="164"/>
      <c r="Z312" s="165"/>
      <c r="AA312" s="166"/>
      <c r="AC312" s="165"/>
      <c r="AD312" s="166"/>
      <c r="AF312" s="165"/>
      <c r="AG312" s="166"/>
      <c r="AI312" s="165"/>
      <c r="AJ312" s="166"/>
    </row>
    <row r="313" ht="15.75" customHeight="1">
      <c r="A313" s="164"/>
      <c r="B313" s="164"/>
      <c r="Z313" s="165"/>
      <c r="AA313" s="166"/>
      <c r="AC313" s="165"/>
      <c r="AD313" s="166"/>
      <c r="AF313" s="165"/>
      <c r="AG313" s="166"/>
      <c r="AI313" s="165"/>
      <c r="AJ313" s="166"/>
    </row>
    <row r="314" ht="15.75" customHeight="1">
      <c r="A314" s="164"/>
      <c r="B314" s="164"/>
      <c r="Z314" s="165"/>
      <c r="AA314" s="166"/>
      <c r="AC314" s="165"/>
      <c r="AD314" s="166"/>
      <c r="AF314" s="165"/>
      <c r="AG314" s="166"/>
      <c r="AI314" s="165"/>
      <c r="AJ314" s="166"/>
    </row>
    <row r="315" ht="15.75" customHeight="1">
      <c r="A315" s="164"/>
      <c r="B315" s="164"/>
      <c r="Z315" s="165"/>
      <c r="AA315" s="166"/>
      <c r="AC315" s="165"/>
      <c r="AD315" s="166"/>
      <c r="AF315" s="165"/>
      <c r="AG315" s="166"/>
      <c r="AI315" s="165"/>
      <c r="AJ315" s="166"/>
    </row>
    <row r="316" ht="15.75" customHeight="1">
      <c r="A316" s="164"/>
      <c r="B316" s="164"/>
      <c r="Z316" s="165"/>
      <c r="AA316" s="166"/>
      <c r="AC316" s="165"/>
      <c r="AD316" s="166"/>
      <c r="AF316" s="165"/>
      <c r="AG316" s="166"/>
      <c r="AI316" s="165"/>
      <c r="AJ316" s="166"/>
    </row>
    <row r="317" ht="15.75" customHeight="1">
      <c r="A317" s="164"/>
      <c r="B317" s="164"/>
      <c r="Z317" s="165"/>
      <c r="AA317" s="166"/>
      <c r="AC317" s="165"/>
      <c r="AD317" s="166"/>
      <c r="AF317" s="165"/>
      <c r="AG317" s="166"/>
      <c r="AI317" s="165"/>
      <c r="AJ317" s="166"/>
    </row>
    <row r="318" ht="15.75" customHeight="1">
      <c r="A318" s="164"/>
      <c r="B318" s="164"/>
      <c r="Z318" s="165"/>
      <c r="AA318" s="166"/>
      <c r="AC318" s="165"/>
      <c r="AD318" s="166"/>
      <c r="AF318" s="165"/>
      <c r="AG318" s="166"/>
      <c r="AI318" s="165"/>
      <c r="AJ318" s="166"/>
    </row>
    <row r="319" ht="15.75" customHeight="1">
      <c r="A319" s="164"/>
      <c r="B319" s="164"/>
      <c r="Z319" s="165"/>
      <c r="AA319" s="166"/>
      <c r="AC319" s="165"/>
      <c r="AD319" s="166"/>
      <c r="AF319" s="165"/>
      <c r="AG319" s="166"/>
      <c r="AI319" s="165"/>
      <c r="AJ319" s="166"/>
    </row>
    <row r="320" ht="15.75" customHeight="1">
      <c r="A320" s="164"/>
      <c r="B320" s="164"/>
      <c r="Z320" s="165"/>
      <c r="AA320" s="166"/>
      <c r="AC320" s="165"/>
      <c r="AD320" s="166"/>
      <c r="AF320" s="165"/>
      <c r="AG320" s="166"/>
      <c r="AI320" s="165"/>
      <c r="AJ320" s="166"/>
    </row>
    <row r="321" ht="15.75" customHeight="1">
      <c r="A321" s="164"/>
      <c r="B321" s="164"/>
      <c r="Z321" s="165"/>
      <c r="AA321" s="166"/>
      <c r="AC321" s="165"/>
      <c r="AD321" s="166"/>
      <c r="AF321" s="165"/>
      <c r="AG321" s="166"/>
      <c r="AI321" s="165"/>
      <c r="AJ321" s="166"/>
    </row>
    <row r="322" ht="15.75" customHeight="1">
      <c r="A322" s="164"/>
      <c r="B322" s="164"/>
      <c r="Z322" s="165"/>
      <c r="AA322" s="166"/>
      <c r="AC322" s="165"/>
      <c r="AD322" s="166"/>
      <c r="AF322" s="165"/>
      <c r="AG322" s="166"/>
      <c r="AI322" s="165"/>
      <c r="AJ322" s="166"/>
    </row>
    <row r="323" ht="15.75" customHeight="1">
      <c r="A323" s="164"/>
      <c r="B323" s="164"/>
      <c r="Z323" s="165"/>
      <c r="AA323" s="166"/>
      <c r="AC323" s="165"/>
      <c r="AD323" s="166"/>
      <c r="AF323" s="165"/>
      <c r="AG323" s="166"/>
      <c r="AI323" s="165"/>
      <c r="AJ323" s="166"/>
    </row>
    <row r="324" ht="15.75" customHeight="1">
      <c r="A324" s="164"/>
      <c r="B324" s="164"/>
      <c r="Z324" s="165"/>
      <c r="AA324" s="166"/>
      <c r="AC324" s="165"/>
      <c r="AD324" s="166"/>
      <c r="AF324" s="165"/>
      <c r="AG324" s="166"/>
      <c r="AI324" s="165"/>
      <c r="AJ324" s="166"/>
    </row>
    <row r="325" ht="15.75" customHeight="1">
      <c r="A325" s="164"/>
      <c r="B325" s="164"/>
      <c r="Z325" s="165"/>
      <c r="AA325" s="166"/>
      <c r="AC325" s="165"/>
      <c r="AD325" s="166"/>
      <c r="AF325" s="165"/>
      <c r="AG325" s="166"/>
      <c r="AI325" s="165"/>
      <c r="AJ325" s="166"/>
    </row>
    <row r="326" ht="15.75" customHeight="1">
      <c r="A326" s="164"/>
      <c r="B326" s="164"/>
      <c r="Z326" s="165"/>
      <c r="AA326" s="166"/>
      <c r="AC326" s="165"/>
      <c r="AD326" s="166"/>
      <c r="AF326" s="165"/>
      <c r="AG326" s="166"/>
      <c r="AI326" s="165"/>
      <c r="AJ326" s="166"/>
    </row>
    <row r="327" ht="15.75" customHeight="1">
      <c r="A327" s="164"/>
      <c r="B327" s="164"/>
      <c r="Z327" s="165"/>
      <c r="AA327" s="166"/>
      <c r="AC327" s="165"/>
      <c r="AD327" s="166"/>
      <c r="AF327" s="165"/>
      <c r="AG327" s="166"/>
      <c r="AI327" s="165"/>
      <c r="AJ327" s="166"/>
    </row>
    <row r="328" ht="15.75" customHeight="1">
      <c r="A328" s="164"/>
      <c r="B328" s="164"/>
      <c r="Z328" s="165"/>
      <c r="AA328" s="166"/>
      <c r="AC328" s="165"/>
      <c r="AD328" s="166"/>
      <c r="AF328" s="165"/>
      <c r="AG328" s="166"/>
      <c r="AI328" s="165"/>
      <c r="AJ328" s="166"/>
    </row>
    <row r="329" ht="15.75" customHeight="1">
      <c r="A329" s="164"/>
      <c r="B329" s="164"/>
      <c r="Z329" s="165"/>
      <c r="AA329" s="166"/>
      <c r="AC329" s="165"/>
      <c r="AD329" s="166"/>
      <c r="AF329" s="165"/>
      <c r="AG329" s="166"/>
      <c r="AI329" s="165"/>
      <c r="AJ329" s="166"/>
    </row>
    <row r="330" ht="15.75" customHeight="1">
      <c r="A330" s="164"/>
      <c r="B330" s="164"/>
      <c r="Z330" s="165"/>
      <c r="AA330" s="166"/>
      <c r="AC330" s="165"/>
      <c r="AD330" s="166"/>
      <c r="AF330" s="165"/>
      <c r="AG330" s="166"/>
      <c r="AI330" s="165"/>
      <c r="AJ330" s="166"/>
    </row>
    <row r="331" ht="15.75" customHeight="1">
      <c r="A331" s="164"/>
      <c r="B331" s="164"/>
      <c r="Z331" s="165"/>
      <c r="AA331" s="166"/>
      <c r="AC331" s="165"/>
      <c r="AD331" s="166"/>
      <c r="AF331" s="165"/>
      <c r="AG331" s="166"/>
      <c r="AI331" s="165"/>
      <c r="AJ331" s="166"/>
    </row>
    <row r="332" ht="15.75" customHeight="1">
      <c r="A332" s="164"/>
      <c r="B332" s="164"/>
      <c r="Z332" s="165"/>
      <c r="AA332" s="166"/>
      <c r="AC332" s="165"/>
      <c r="AD332" s="166"/>
      <c r="AF332" s="165"/>
      <c r="AG332" s="166"/>
      <c r="AI332" s="165"/>
      <c r="AJ332" s="166"/>
    </row>
    <row r="333" ht="15.75" customHeight="1">
      <c r="A333" s="164"/>
      <c r="B333" s="164"/>
      <c r="Z333" s="165"/>
      <c r="AA333" s="166"/>
      <c r="AC333" s="165"/>
      <c r="AD333" s="166"/>
      <c r="AF333" s="165"/>
      <c r="AG333" s="166"/>
      <c r="AI333" s="165"/>
      <c r="AJ333" s="166"/>
    </row>
    <row r="334" ht="15.75" customHeight="1">
      <c r="A334" s="164"/>
      <c r="B334" s="164"/>
      <c r="Z334" s="165"/>
      <c r="AA334" s="166"/>
      <c r="AC334" s="165"/>
      <c r="AD334" s="166"/>
      <c r="AF334" s="165"/>
      <c r="AG334" s="166"/>
      <c r="AI334" s="165"/>
      <c r="AJ334" s="166"/>
    </row>
    <row r="335" ht="15.75" customHeight="1">
      <c r="A335" s="164"/>
      <c r="B335" s="164"/>
      <c r="Z335" s="165"/>
      <c r="AA335" s="166"/>
      <c r="AC335" s="165"/>
      <c r="AD335" s="166"/>
      <c r="AF335" s="165"/>
      <c r="AG335" s="166"/>
      <c r="AI335" s="165"/>
      <c r="AJ335" s="166"/>
    </row>
    <row r="336" ht="15.75" customHeight="1">
      <c r="A336" s="164"/>
      <c r="B336" s="164"/>
      <c r="Z336" s="165"/>
      <c r="AA336" s="166"/>
      <c r="AC336" s="165"/>
      <c r="AD336" s="166"/>
      <c r="AF336" s="165"/>
      <c r="AG336" s="166"/>
      <c r="AI336" s="165"/>
      <c r="AJ336" s="166"/>
    </row>
    <row r="337" ht="15.75" customHeight="1">
      <c r="A337" s="164"/>
      <c r="B337" s="164"/>
      <c r="Z337" s="165"/>
      <c r="AA337" s="166"/>
      <c r="AC337" s="165"/>
      <c r="AD337" s="166"/>
      <c r="AF337" s="165"/>
      <c r="AG337" s="166"/>
      <c r="AI337" s="165"/>
      <c r="AJ337" s="166"/>
    </row>
    <row r="338" ht="15.75" customHeight="1">
      <c r="A338" s="164"/>
      <c r="B338" s="164"/>
      <c r="Z338" s="165"/>
      <c r="AA338" s="166"/>
      <c r="AC338" s="165"/>
      <c r="AD338" s="166"/>
      <c r="AF338" s="165"/>
      <c r="AG338" s="166"/>
      <c r="AI338" s="165"/>
      <c r="AJ338" s="166"/>
    </row>
    <row r="339" ht="15.75" customHeight="1">
      <c r="A339" s="164"/>
      <c r="B339" s="164"/>
      <c r="Z339" s="165"/>
      <c r="AA339" s="166"/>
      <c r="AC339" s="165"/>
      <c r="AD339" s="166"/>
      <c r="AF339" s="165"/>
      <c r="AG339" s="166"/>
      <c r="AI339" s="165"/>
      <c r="AJ339" s="166"/>
    </row>
    <row r="340" ht="15.75" customHeight="1">
      <c r="A340" s="164"/>
      <c r="B340" s="164"/>
      <c r="Z340" s="165"/>
      <c r="AA340" s="166"/>
      <c r="AC340" s="165"/>
      <c r="AD340" s="166"/>
      <c r="AF340" s="165"/>
      <c r="AG340" s="166"/>
      <c r="AI340" s="165"/>
      <c r="AJ340" s="166"/>
    </row>
    <row r="341" ht="15.75" customHeight="1">
      <c r="A341" s="164"/>
      <c r="B341" s="164"/>
      <c r="Z341" s="165"/>
      <c r="AA341" s="166"/>
      <c r="AC341" s="165"/>
      <c r="AD341" s="166"/>
      <c r="AF341" s="165"/>
      <c r="AG341" s="166"/>
      <c r="AI341" s="165"/>
      <c r="AJ341" s="166"/>
    </row>
    <row r="342" ht="15.75" customHeight="1">
      <c r="A342" s="164"/>
      <c r="B342" s="164"/>
      <c r="Z342" s="165"/>
      <c r="AA342" s="166"/>
      <c r="AC342" s="165"/>
      <c r="AD342" s="166"/>
      <c r="AF342" s="165"/>
      <c r="AG342" s="166"/>
      <c r="AI342" s="165"/>
      <c r="AJ342" s="166"/>
    </row>
    <row r="343" ht="15.75" customHeight="1">
      <c r="A343" s="164"/>
      <c r="B343" s="164"/>
      <c r="Z343" s="165"/>
      <c r="AA343" s="166"/>
      <c r="AC343" s="165"/>
      <c r="AD343" s="166"/>
      <c r="AF343" s="165"/>
      <c r="AG343" s="166"/>
      <c r="AI343" s="165"/>
      <c r="AJ343" s="166"/>
    </row>
    <row r="344" ht="15.75" customHeight="1">
      <c r="A344" s="164"/>
      <c r="B344" s="164"/>
      <c r="Z344" s="165"/>
      <c r="AA344" s="166"/>
      <c r="AC344" s="165"/>
      <c r="AD344" s="166"/>
      <c r="AF344" s="165"/>
      <c r="AG344" s="166"/>
      <c r="AI344" s="165"/>
      <c r="AJ344" s="166"/>
    </row>
    <row r="345" ht="15.75" customHeight="1">
      <c r="A345" s="164"/>
      <c r="B345" s="164"/>
      <c r="Z345" s="165"/>
      <c r="AA345" s="166"/>
      <c r="AC345" s="165"/>
      <c r="AD345" s="166"/>
      <c r="AF345" s="165"/>
      <c r="AG345" s="166"/>
      <c r="AI345" s="165"/>
      <c r="AJ345" s="166"/>
    </row>
    <row r="346" ht="15.75" customHeight="1">
      <c r="A346" s="164"/>
      <c r="B346" s="164"/>
      <c r="Z346" s="165"/>
      <c r="AA346" s="166"/>
      <c r="AC346" s="165"/>
      <c r="AD346" s="166"/>
      <c r="AF346" s="165"/>
      <c r="AG346" s="166"/>
      <c r="AI346" s="165"/>
      <c r="AJ346" s="166"/>
    </row>
    <row r="347" ht="15.75" customHeight="1">
      <c r="A347" s="164"/>
      <c r="B347" s="164"/>
      <c r="Z347" s="165"/>
      <c r="AA347" s="166"/>
      <c r="AC347" s="165"/>
      <c r="AD347" s="166"/>
      <c r="AF347" s="165"/>
      <c r="AG347" s="166"/>
      <c r="AI347" s="165"/>
      <c r="AJ347" s="166"/>
    </row>
    <row r="348" ht="15.75" customHeight="1">
      <c r="A348" s="164"/>
      <c r="B348" s="164"/>
      <c r="Z348" s="165"/>
      <c r="AA348" s="166"/>
      <c r="AC348" s="165"/>
      <c r="AD348" s="166"/>
      <c r="AF348" s="165"/>
      <c r="AG348" s="166"/>
      <c r="AI348" s="165"/>
      <c r="AJ348" s="166"/>
    </row>
    <row r="349" ht="15.75" customHeight="1">
      <c r="A349" s="164"/>
      <c r="B349" s="164"/>
      <c r="Z349" s="165"/>
      <c r="AA349" s="166"/>
      <c r="AC349" s="165"/>
      <c r="AD349" s="166"/>
      <c r="AF349" s="165"/>
      <c r="AG349" s="166"/>
      <c r="AI349" s="165"/>
      <c r="AJ349" s="166"/>
    </row>
    <row r="350" ht="15.75" customHeight="1">
      <c r="A350" s="164"/>
      <c r="B350" s="164"/>
      <c r="Z350" s="165"/>
      <c r="AA350" s="166"/>
      <c r="AC350" s="165"/>
      <c r="AD350" s="166"/>
      <c r="AF350" s="165"/>
      <c r="AG350" s="166"/>
      <c r="AI350" s="165"/>
      <c r="AJ350" s="166"/>
    </row>
    <row r="351" ht="15.75" customHeight="1">
      <c r="A351" s="164"/>
      <c r="B351" s="164"/>
      <c r="Z351" s="165"/>
      <c r="AA351" s="166"/>
      <c r="AC351" s="165"/>
      <c r="AD351" s="166"/>
      <c r="AF351" s="165"/>
      <c r="AG351" s="166"/>
      <c r="AI351" s="165"/>
      <c r="AJ351" s="166"/>
    </row>
    <row r="352" ht="15.75" customHeight="1">
      <c r="A352" s="164"/>
      <c r="B352" s="164"/>
      <c r="Z352" s="165"/>
      <c r="AA352" s="166"/>
      <c r="AC352" s="165"/>
      <c r="AD352" s="166"/>
      <c r="AF352" s="165"/>
      <c r="AG352" s="166"/>
      <c r="AI352" s="165"/>
      <c r="AJ352" s="166"/>
    </row>
    <row r="353" ht="15.75" customHeight="1">
      <c r="A353" s="164"/>
      <c r="B353" s="164"/>
      <c r="Z353" s="165"/>
      <c r="AA353" s="166"/>
      <c r="AC353" s="165"/>
      <c r="AD353" s="166"/>
      <c r="AF353" s="165"/>
      <c r="AG353" s="166"/>
      <c r="AI353" s="165"/>
      <c r="AJ353" s="166"/>
    </row>
    <row r="354" ht="15.75" customHeight="1">
      <c r="A354" s="164"/>
      <c r="B354" s="164"/>
      <c r="Z354" s="165"/>
      <c r="AA354" s="166"/>
      <c r="AC354" s="165"/>
      <c r="AD354" s="166"/>
      <c r="AF354" s="165"/>
      <c r="AG354" s="166"/>
      <c r="AI354" s="165"/>
      <c r="AJ354" s="166"/>
    </row>
    <row r="355" ht="15.75" customHeight="1">
      <c r="A355" s="164"/>
      <c r="B355" s="164"/>
      <c r="Z355" s="165"/>
      <c r="AA355" s="166"/>
      <c r="AC355" s="165"/>
      <c r="AD355" s="166"/>
      <c r="AF355" s="165"/>
      <c r="AG355" s="166"/>
      <c r="AI355" s="165"/>
      <c r="AJ355" s="166"/>
    </row>
    <row r="356" ht="15.75" customHeight="1">
      <c r="A356" s="164"/>
      <c r="B356" s="164"/>
      <c r="Z356" s="165"/>
      <c r="AA356" s="166"/>
      <c r="AC356" s="165"/>
      <c r="AD356" s="166"/>
      <c r="AF356" s="165"/>
      <c r="AG356" s="166"/>
      <c r="AI356" s="165"/>
      <c r="AJ356" s="166"/>
    </row>
    <row r="357" ht="15.75" customHeight="1">
      <c r="A357" s="164"/>
      <c r="B357" s="164"/>
      <c r="Z357" s="165"/>
      <c r="AA357" s="166"/>
      <c r="AC357" s="165"/>
      <c r="AD357" s="166"/>
      <c r="AF357" s="165"/>
      <c r="AG357" s="166"/>
      <c r="AI357" s="165"/>
      <c r="AJ357" s="166"/>
    </row>
    <row r="358" ht="15.75" customHeight="1">
      <c r="A358" s="164"/>
      <c r="B358" s="164"/>
      <c r="Z358" s="165"/>
      <c r="AA358" s="166"/>
      <c r="AC358" s="165"/>
      <c r="AD358" s="166"/>
      <c r="AF358" s="165"/>
      <c r="AG358" s="166"/>
      <c r="AI358" s="165"/>
      <c r="AJ358" s="166"/>
    </row>
    <row r="359" ht="15.75" customHeight="1">
      <c r="A359" s="164"/>
      <c r="B359" s="164"/>
      <c r="Z359" s="165"/>
      <c r="AA359" s="166"/>
      <c r="AC359" s="165"/>
      <c r="AD359" s="166"/>
      <c r="AF359" s="165"/>
      <c r="AG359" s="166"/>
      <c r="AI359" s="165"/>
      <c r="AJ359" s="166"/>
    </row>
    <row r="360" ht="15.75" customHeight="1">
      <c r="A360" s="164"/>
      <c r="B360" s="164"/>
      <c r="Z360" s="165"/>
      <c r="AA360" s="166"/>
      <c r="AC360" s="165"/>
      <c r="AD360" s="166"/>
      <c r="AF360" s="165"/>
      <c r="AG360" s="166"/>
      <c r="AI360" s="165"/>
      <c r="AJ360" s="166"/>
    </row>
    <row r="361" ht="15.75" customHeight="1">
      <c r="A361" s="164"/>
      <c r="B361" s="164"/>
      <c r="Z361" s="165"/>
      <c r="AA361" s="166"/>
      <c r="AC361" s="165"/>
      <c r="AD361" s="166"/>
      <c r="AF361" s="165"/>
      <c r="AG361" s="166"/>
      <c r="AI361" s="165"/>
      <c r="AJ361" s="166"/>
    </row>
    <row r="362" ht="15.75" customHeight="1">
      <c r="A362" s="164"/>
      <c r="B362" s="164"/>
      <c r="Z362" s="165"/>
      <c r="AA362" s="166"/>
      <c r="AC362" s="165"/>
      <c r="AD362" s="166"/>
      <c r="AF362" s="165"/>
      <c r="AG362" s="166"/>
      <c r="AI362" s="165"/>
      <c r="AJ362" s="166"/>
    </row>
    <row r="363" ht="15.75" customHeight="1">
      <c r="A363" s="164"/>
      <c r="B363" s="164"/>
      <c r="Z363" s="165"/>
      <c r="AA363" s="166"/>
      <c r="AC363" s="165"/>
      <c r="AD363" s="166"/>
      <c r="AF363" s="165"/>
      <c r="AG363" s="166"/>
      <c r="AI363" s="165"/>
      <c r="AJ363" s="166"/>
    </row>
    <row r="364" ht="15.75" customHeight="1">
      <c r="A364" s="164"/>
      <c r="B364" s="164"/>
      <c r="Z364" s="165"/>
      <c r="AA364" s="166"/>
      <c r="AC364" s="165"/>
      <c r="AD364" s="166"/>
      <c r="AF364" s="165"/>
      <c r="AG364" s="166"/>
      <c r="AI364" s="165"/>
      <c r="AJ364" s="166"/>
    </row>
    <row r="365" ht="15.75" customHeight="1">
      <c r="A365" s="164"/>
      <c r="B365" s="164"/>
      <c r="Z365" s="165"/>
      <c r="AA365" s="166"/>
      <c r="AC365" s="165"/>
      <c r="AD365" s="166"/>
      <c r="AF365" s="165"/>
      <c r="AG365" s="166"/>
      <c r="AI365" s="165"/>
      <c r="AJ365" s="166"/>
    </row>
    <row r="366" ht="15.75" customHeight="1">
      <c r="A366" s="164"/>
      <c r="B366" s="164"/>
      <c r="Z366" s="165"/>
      <c r="AA366" s="166"/>
      <c r="AC366" s="165"/>
      <c r="AD366" s="166"/>
      <c r="AF366" s="165"/>
      <c r="AG366" s="166"/>
      <c r="AI366" s="165"/>
      <c r="AJ366" s="166"/>
    </row>
    <row r="367" ht="15.75" customHeight="1">
      <c r="A367" s="164"/>
      <c r="B367" s="164"/>
      <c r="Z367" s="165"/>
      <c r="AA367" s="166"/>
      <c r="AC367" s="165"/>
      <c r="AD367" s="166"/>
      <c r="AF367" s="165"/>
      <c r="AG367" s="166"/>
      <c r="AI367" s="165"/>
      <c r="AJ367" s="166"/>
    </row>
    <row r="368" ht="15.75" customHeight="1">
      <c r="A368" s="164"/>
      <c r="B368" s="164"/>
      <c r="Z368" s="165"/>
      <c r="AA368" s="166"/>
      <c r="AC368" s="165"/>
      <c r="AD368" s="166"/>
      <c r="AF368" s="165"/>
      <c r="AG368" s="166"/>
      <c r="AI368" s="165"/>
      <c r="AJ368" s="166"/>
    </row>
    <row r="369" ht="15.75" customHeight="1">
      <c r="A369" s="164"/>
      <c r="B369" s="164"/>
      <c r="Z369" s="165"/>
      <c r="AA369" s="166"/>
      <c r="AC369" s="165"/>
      <c r="AD369" s="166"/>
      <c r="AF369" s="165"/>
      <c r="AG369" s="166"/>
      <c r="AI369" s="165"/>
      <c r="AJ369" s="166"/>
    </row>
    <row r="370" ht="15.75" customHeight="1">
      <c r="A370" s="164"/>
      <c r="B370" s="164"/>
      <c r="Z370" s="165"/>
      <c r="AA370" s="166"/>
      <c r="AC370" s="165"/>
      <c r="AD370" s="166"/>
      <c r="AF370" s="165"/>
      <c r="AG370" s="166"/>
      <c r="AI370" s="165"/>
      <c r="AJ370" s="166"/>
    </row>
    <row r="371" ht="15.75" customHeight="1">
      <c r="A371" s="164"/>
      <c r="B371" s="164"/>
      <c r="Z371" s="165"/>
      <c r="AA371" s="166"/>
      <c r="AC371" s="165"/>
      <c r="AD371" s="166"/>
      <c r="AF371" s="165"/>
      <c r="AG371" s="166"/>
      <c r="AI371" s="165"/>
      <c r="AJ371" s="166"/>
    </row>
    <row r="372" ht="15.75" customHeight="1">
      <c r="A372" s="164"/>
      <c r="B372" s="164"/>
      <c r="Z372" s="165"/>
      <c r="AA372" s="166"/>
      <c r="AC372" s="165"/>
      <c r="AD372" s="166"/>
      <c r="AF372" s="165"/>
      <c r="AG372" s="166"/>
      <c r="AI372" s="165"/>
      <c r="AJ372" s="166"/>
    </row>
    <row r="373" ht="15.75" customHeight="1">
      <c r="A373" s="164"/>
      <c r="B373" s="164"/>
      <c r="Z373" s="165"/>
      <c r="AA373" s="166"/>
      <c r="AC373" s="165"/>
      <c r="AD373" s="166"/>
      <c r="AF373" s="165"/>
      <c r="AG373" s="166"/>
      <c r="AI373" s="165"/>
      <c r="AJ373" s="166"/>
    </row>
    <row r="374" ht="15.75" customHeight="1">
      <c r="A374" s="164"/>
      <c r="B374" s="164"/>
      <c r="Z374" s="165"/>
      <c r="AA374" s="166"/>
      <c r="AC374" s="165"/>
      <c r="AD374" s="166"/>
      <c r="AF374" s="165"/>
      <c r="AG374" s="166"/>
      <c r="AI374" s="165"/>
      <c r="AJ374" s="166"/>
    </row>
    <row r="375" ht="15.75" customHeight="1">
      <c r="A375" s="164"/>
      <c r="B375" s="164"/>
      <c r="Z375" s="165"/>
      <c r="AA375" s="166"/>
      <c r="AC375" s="165"/>
      <c r="AD375" s="166"/>
      <c r="AF375" s="165"/>
      <c r="AG375" s="166"/>
      <c r="AI375" s="165"/>
      <c r="AJ375" s="166"/>
    </row>
    <row r="376" ht="15.75" customHeight="1">
      <c r="A376" s="164"/>
      <c r="B376" s="164"/>
      <c r="Z376" s="165"/>
      <c r="AA376" s="166"/>
      <c r="AC376" s="165"/>
      <c r="AD376" s="166"/>
      <c r="AF376" s="165"/>
      <c r="AG376" s="166"/>
      <c r="AI376" s="165"/>
      <c r="AJ376" s="166"/>
    </row>
    <row r="377" ht="15.75" customHeight="1">
      <c r="A377" s="164"/>
      <c r="B377" s="164"/>
      <c r="Z377" s="165"/>
      <c r="AA377" s="166"/>
      <c r="AC377" s="165"/>
      <c r="AD377" s="166"/>
      <c r="AF377" s="165"/>
      <c r="AG377" s="166"/>
      <c r="AI377" s="165"/>
      <c r="AJ377" s="166"/>
    </row>
    <row r="378" ht="15.75" customHeight="1">
      <c r="A378" s="164"/>
      <c r="B378" s="164"/>
      <c r="Z378" s="165"/>
      <c r="AA378" s="166"/>
      <c r="AC378" s="165"/>
      <c r="AD378" s="166"/>
      <c r="AF378" s="165"/>
      <c r="AG378" s="166"/>
      <c r="AI378" s="165"/>
      <c r="AJ378" s="166"/>
    </row>
    <row r="379" ht="15.75" customHeight="1">
      <c r="A379" s="164"/>
      <c r="B379" s="164"/>
      <c r="Z379" s="165"/>
      <c r="AA379" s="166"/>
      <c r="AC379" s="165"/>
      <c r="AD379" s="166"/>
      <c r="AF379" s="165"/>
      <c r="AG379" s="166"/>
      <c r="AI379" s="165"/>
      <c r="AJ379" s="166"/>
    </row>
    <row r="380" ht="15.75" customHeight="1">
      <c r="A380" s="164"/>
      <c r="B380" s="164"/>
      <c r="Z380" s="165"/>
      <c r="AA380" s="166"/>
      <c r="AC380" s="165"/>
      <c r="AD380" s="166"/>
      <c r="AF380" s="165"/>
      <c r="AG380" s="166"/>
      <c r="AI380" s="165"/>
      <c r="AJ380" s="166"/>
    </row>
    <row r="381" ht="15.75" customHeight="1">
      <c r="A381" s="164"/>
      <c r="B381" s="164"/>
      <c r="Z381" s="165"/>
      <c r="AA381" s="166"/>
      <c r="AC381" s="165"/>
      <c r="AD381" s="166"/>
      <c r="AF381" s="165"/>
      <c r="AG381" s="166"/>
      <c r="AI381" s="165"/>
      <c r="AJ381" s="166"/>
    </row>
    <row r="382" ht="15.75" customHeight="1">
      <c r="A382" s="164"/>
      <c r="B382" s="164"/>
      <c r="Z382" s="165"/>
      <c r="AA382" s="166"/>
      <c r="AC382" s="165"/>
      <c r="AD382" s="166"/>
      <c r="AF382" s="165"/>
      <c r="AG382" s="166"/>
      <c r="AI382" s="165"/>
      <c r="AJ382" s="166"/>
    </row>
    <row r="383" ht="15.75" customHeight="1">
      <c r="A383" s="164"/>
      <c r="B383" s="164"/>
      <c r="Z383" s="165"/>
      <c r="AA383" s="166"/>
      <c r="AC383" s="165"/>
      <c r="AD383" s="166"/>
      <c r="AF383" s="165"/>
      <c r="AG383" s="166"/>
      <c r="AI383" s="165"/>
      <c r="AJ383" s="166"/>
    </row>
    <row r="384" ht="15.75" customHeight="1">
      <c r="A384" s="164"/>
      <c r="B384" s="164"/>
      <c r="Z384" s="165"/>
      <c r="AA384" s="166"/>
      <c r="AC384" s="165"/>
      <c r="AD384" s="166"/>
      <c r="AF384" s="165"/>
      <c r="AG384" s="166"/>
      <c r="AI384" s="165"/>
      <c r="AJ384" s="166"/>
    </row>
    <row r="385" ht="15.75" customHeight="1">
      <c r="A385" s="164"/>
      <c r="B385" s="164"/>
      <c r="Z385" s="165"/>
      <c r="AA385" s="166"/>
      <c r="AC385" s="165"/>
      <c r="AD385" s="166"/>
      <c r="AF385" s="165"/>
      <c r="AG385" s="166"/>
      <c r="AI385" s="165"/>
      <c r="AJ385" s="166"/>
    </row>
    <row r="386" ht="15.75" customHeight="1">
      <c r="A386" s="164"/>
      <c r="B386" s="164"/>
      <c r="Z386" s="165"/>
      <c r="AA386" s="166"/>
      <c r="AC386" s="165"/>
      <c r="AD386" s="166"/>
      <c r="AF386" s="165"/>
      <c r="AG386" s="166"/>
      <c r="AI386" s="165"/>
      <c r="AJ386" s="166"/>
    </row>
    <row r="387" ht="15.75" customHeight="1">
      <c r="A387" s="164"/>
      <c r="B387" s="164"/>
      <c r="Z387" s="165"/>
      <c r="AA387" s="166"/>
      <c r="AC387" s="165"/>
      <c r="AD387" s="166"/>
      <c r="AF387" s="165"/>
      <c r="AG387" s="166"/>
      <c r="AI387" s="165"/>
      <c r="AJ387" s="166"/>
    </row>
    <row r="388" ht="15.75" customHeight="1">
      <c r="A388" s="164"/>
      <c r="B388" s="164"/>
      <c r="Z388" s="165"/>
      <c r="AA388" s="166"/>
      <c r="AC388" s="165"/>
      <c r="AD388" s="166"/>
      <c r="AF388" s="165"/>
      <c r="AG388" s="166"/>
      <c r="AI388" s="165"/>
      <c r="AJ388" s="166"/>
    </row>
    <row r="389" ht="15.75" customHeight="1">
      <c r="A389" s="164"/>
      <c r="B389" s="164"/>
      <c r="Z389" s="165"/>
      <c r="AA389" s="166"/>
      <c r="AC389" s="165"/>
      <c r="AD389" s="166"/>
      <c r="AF389" s="165"/>
      <c r="AG389" s="166"/>
      <c r="AI389" s="165"/>
      <c r="AJ389" s="166"/>
    </row>
    <row r="390" ht="15.75" customHeight="1">
      <c r="A390" s="164"/>
      <c r="B390" s="164"/>
      <c r="Z390" s="165"/>
      <c r="AA390" s="166"/>
      <c r="AC390" s="165"/>
      <c r="AD390" s="166"/>
      <c r="AF390" s="165"/>
      <c r="AG390" s="166"/>
      <c r="AI390" s="165"/>
      <c r="AJ390" s="166"/>
    </row>
    <row r="391" ht="15.75" customHeight="1">
      <c r="A391" s="164"/>
      <c r="B391" s="164"/>
      <c r="Z391" s="165"/>
      <c r="AA391" s="166"/>
      <c r="AC391" s="165"/>
      <c r="AD391" s="166"/>
      <c r="AF391" s="165"/>
      <c r="AG391" s="166"/>
      <c r="AI391" s="165"/>
      <c r="AJ391" s="166"/>
    </row>
    <row r="392" ht="15.75" customHeight="1">
      <c r="A392" s="164"/>
      <c r="B392" s="164"/>
      <c r="Z392" s="165"/>
      <c r="AA392" s="166"/>
      <c r="AC392" s="165"/>
      <c r="AD392" s="166"/>
      <c r="AF392" s="165"/>
      <c r="AG392" s="166"/>
      <c r="AI392" s="165"/>
      <c r="AJ392" s="166"/>
    </row>
    <row r="393" ht="15.75" customHeight="1">
      <c r="A393" s="164"/>
      <c r="B393" s="164"/>
      <c r="Z393" s="165"/>
      <c r="AA393" s="166"/>
      <c r="AC393" s="165"/>
      <c r="AD393" s="166"/>
      <c r="AF393" s="165"/>
      <c r="AG393" s="166"/>
      <c r="AI393" s="165"/>
      <c r="AJ393" s="166"/>
    </row>
    <row r="394" ht="15.75" customHeight="1">
      <c r="A394" s="164"/>
      <c r="B394" s="164"/>
      <c r="Z394" s="165"/>
      <c r="AA394" s="166"/>
      <c r="AC394" s="165"/>
      <c r="AD394" s="166"/>
      <c r="AF394" s="165"/>
      <c r="AG394" s="166"/>
      <c r="AI394" s="165"/>
      <c r="AJ394" s="166"/>
    </row>
    <row r="395" ht="15.75" customHeight="1">
      <c r="A395" s="164"/>
      <c r="B395" s="164"/>
      <c r="Z395" s="165"/>
      <c r="AA395" s="166"/>
      <c r="AC395" s="165"/>
      <c r="AD395" s="166"/>
      <c r="AF395" s="165"/>
      <c r="AG395" s="166"/>
      <c r="AI395" s="165"/>
      <c r="AJ395" s="166"/>
    </row>
    <row r="396" ht="15.75" customHeight="1">
      <c r="A396" s="164"/>
      <c r="B396" s="164"/>
      <c r="Z396" s="165"/>
      <c r="AA396" s="166"/>
      <c r="AC396" s="165"/>
      <c r="AD396" s="166"/>
      <c r="AF396" s="165"/>
      <c r="AG396" s="166"/>
      <c r="AI396" s="165"/>
      <c r="AJ396" s="166"/>
    </row>
    <row r="397" ht="15.75" customHeight="1">
      <c r="A397" s="164"/>
      <c r="B397" s="164"/>
      <c r="Z397" s="165"/>
      <c r="AA397" s="166"/>
      <c r="AC397" s="165"/>
      <c r="AD397" s="166"/>
      <c r="AF397" s="165"/>
      <c r="AG397" s="166"/>
      <c r="AI397" s="165"/>
      <c r="AJ397" s="166"/>
    </row>
    <row r="398" ht="15.75" customHeight="1">
      <c r="A398" s="164"/>
      <c r="B398" s="164"/>
      <c r="Z398" s="165"/>
      <c r="AA398" s="166"/>
      <c r="AC398" s="165"/>
      <c r="AD398" s="166"/>
      <c r="AF398" s="165"/>
      <c r="AG398" s="166"/>
      <c r="AI398" s="165"/>
      <c r="AJ398" s="166"/>
    </row>
    <row r="399" ht="15.75" customHeight="1">
      <c r="A399" s="164"/>
      <c r="B399" s="164"/>
      <c r="Z399" s="165"/>
      <c r="AA399" s="166"/>
      <c r="AC399" s="165"/>
      <c r="AD399" s="166"/>
      <c r="AF399" s="165"/>
      <c r="AG399" s="166"/>
      <c r="AI399" s="165"/>
      <c r="AJ399" s="166"/>
    </row>
    <row r="400" ht="15.75" customHeight="1">
      <c r="A400" s="164"/>
      <c r="B400" s="164"/>
      <c r="Z400" s="165"/>
      <c r="AA400" s="166"/>
      <c r="AC400" s="165"/>
      <c r="AD400" s="166"/>
      <c r="AF400" s="165"/>
      <c r="AG400" s="166"/>
      <c r="AI400" s="165"/>
      <c r="AJ400" s="166"/>
    </row>
    <row r="401" ht="15.75" customHeight="1">
      <c r="A401" s="164"/>
      <c r="B401" s="164"/>
      <c r="Z401" s="165"/>
      <c r="AA401" s="166"/>
      <c r="AC401" s="165"/>
      <c r="AD401" s="166"/>
      <c r="AF401" s="165"/>
      <c r="AG401" s="166"/>
      <c r="AI401" s="165"/>
      <c r="AJ401" s="166"/>
    </row>
    <row r="402" ht="15.75" customHeight="1">
      <c r="A402" s="164"/>
      <c r="B402" s="164"/>
      <c r="Z402" s="165"/>
      <c r="AA402" s="166"/>
      <c r="AC402" s="165"/>
      <c r="AD402" s="166"/>
      <c r="AF402" s="165"/>
      <c r="AG402" s="166"/>
      <c r="AI402" s="165"/>
      <c r="AJ402" s="166"/>
    </row>
    <row r="403" ht="15.75" customHeight="1">
      <c r="A403" s="164"/>
      <c r="B403" s="164"/>
      <c r="Z403" s="165"/>
      <c r="AA403" s="166"/>
      <c r="AC403" s="165"/>
      <c r="AD403" s="166"/>
      <c r="AF403" s="165"/>
      <c r="AG403" s="166"/>
      <c r="AI403" s="165"/>
      <c r="AJ403" s="166"/>
    </row>
    <row r="404" ht="15.75" customHeight="1">
      <c r="A404" s="164"/>
      <c r="B404" s="164"/>
      <c r="Z404" s="165"/>
      <c r="AA404" s="166"/>
      <c r="AC404" s="165"/>
      <c r="AD404" s="166"/>
      <c r="AF404" s="165"/>
      <c r="AG404" s="166"/>
      <c r="AI404" s="165"/>
      <c r="AJ404" s="166"/>
    </row>
    <row r="405" ht="15.75" customHeight="1">
      <c r="A405" s="164"/>
      <c r="B405" s="164"/>
      <c r="Z405" s="165"/>
      <c r="AA405" s="166"/>
      <c r="AC405" s="165"/>
      <c r="AD405" s="166"/>
      <c r="AF405" s="165"/>
      <c r="AG405" s="166"/>
      <c r="AI405" s="165"/>
      <c r="AJ405" s="166"/>
    </row>
    <row r="406" ht="15.75" customHeight="1">
      <c r="A406" s="164"/>
      <c r="B406" s="164"/>
      <c r="Z406" s="165"/>
      <c r="AA406" s="166"/>
      <c r="AC406" s="165"/>
      <c r="AD406" s="166"/>
      <c r="AF406" s="165"/>
      <c r="AG406" s="166"/>
      <c r="AI406" s="165"/>
      <c r="AJ406" s="166"/>
    </row>
    <row r="407" ht="15.75" customHeight="1">
      <c r="A407" s="164"/>
      <c r="B407" s="164"/>
      <c r="Z407" s="165"/>
      <c r="AA407" s="166"/>
      <c r="AC407" s="165"/>
      <c r="AD407" s="166"/>
      <c r="AF407" s="165"/>
      <c r="AG407" s="166"/>
      <c r="AI407" s="165"/>
      <c r="AJ407" s="166"/>
    </row>
    <row r="408" ht="15.75" customHeight="1">
      <c r="A408" s="164"/>
      <c r="B408" s="164"/>
      <c r="Z408" s="165"/>
      <c r="AA408" s="166"/>
      <c r="AC408" s="165"/>
      <c r="AD408" s="166"/>
      <c r="AF408" s="165"/>
      <c r="AG408" s="166"/>
      <c r="AI408" s="165"/>
      <c r="AJ408" s="166"/>
    </row>
    <row r="409" ht="15.75" customHeight="1">
      <c r="A409" s="164"/>
      <c r="B409" s="164"/>
      <c r="Z409" s="165"/>
      <c r="AA409" s="166"/>
      <c r="AC409" s="165"/>
      <c r="AD409" s="166"/>
      <c r="AF409" s="165"/>
      <c r="AG409" s="166"/>
      <c r="AI409" s="165"/>
      <c r="AJ409" s="166"/>
    </row>
    <row r="410" ht="15.75" customHeight="1">
      <c r="A410" s="164"/>
      <c r="B410" s="164"/>
      <c r="Z410" s="165"/>
      <c r="AA410" s="166"/>
      <c r="AC410" s="165"/>
      <c r="AD410" s="166"/>
      <c r="AF410" s="165"/>
      <c r="AG410" s="166"/>
      <c r="AI410" s="165"/>
      <c r="AJ410" s="166"/>
    </row>
    <row r="411" ht="15.75" customHeight="1">
      <c r="A411" s="164"/>
      <c r="B411" s="164"/>
      <c r="Z411" s="165"/>
      <c r="AA411" s="166"/>
      <c r="AC411" s="165"/>
      <c r="AD411" s="166"/>
      <c r="AF411" s="165"/>
      <c r="AG411" s="166"/>
      <c r="AI411" s="165"/>
      <c r="AJ411" s="166"/>
    </row>
    <row r="412" ht="15.75" customHeight="1">
      <c r="A412" s="164"/>
      <c r="B412" s="164"/>
      <c r="Z412" s="165"/>
      <c r="AA412" s="166"/>
      <c r="AC412" s="165"/>
      <c r="AD412" s="166"/>
      <c r="AF412" s="165"/>
      <c r="AG412" s="166"/>
      <c r="AI412" s="165"/>
      <c r="AJ412" s="166"/>
    </row>
    <row r="413" ht="15.75" customHeight="1">
      <c r="A413" s="164"/>
      <c r="B413" s="164"/>
      <c r="Z413" s="165"/>
      <c r="AA413" s="166"/>
      <c r="AC413" s="165"/>
      <c r="AD413" s="166"/>
      <c r="AF413" s="165"/>
      <c r="AG413" s="166"/>
      <c r="AI413" s="165"/>
      <c r="AJ413" s="166"/>
    </row>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
    <mergeCell ref="J3:K3"/>
    <mergeCell ref="J26:K26"/>
    <mergeCell ref="AC1:AF1"/>
    <mergeCell ref="C3:D3"/>
    <mergeCell ref="F3:G3"/>
    <mergeCell ref="Z4:AA4"/>
    <mergeCell ref="AF4:AG4"/>
    <mergeCell ref="AI4:AJ4"/>
    <mergeCell ref="T15:U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13.78"/>
    <col customWidth="1" min="3" max="3" width="11.56"/>
    <col customWidth="1" min="4" max="4" width="8.33"/>
    <col customWidth="1" min="5" max="5" width="9.11"/>
    <col customWidth="1" min="6" max="6" width="13.11"/>
    <col customWidth="1" min="7" max="7" width="10.44"/>
    <col customWidth="1" min="8" max="8" width="8.11"/>
    <col customWidth="1" min="9" max="9" width="22.78"/>
    <col customWidth="1" min="10" max="10" width="24.0"/>
    <col customWidth="1" min="11" max="23" width="10.44"/>
    <col customWidth="1" min="24" max="26" width="11.11"/>
  </cols>
  <sheetData>
    <row r="1" ht="15.75" customHeight="1">
      <c r="A1" s="241" t="s">
        <v>450</v>
      </c>
      <c r="B1" s="7"/>
      <c r="C1" s="7"/>
      <c r="D1" s="7"/>
      <c r="E1" s="7"/>
      <c r="F1" s="7"/>
      <c r="G1" s="7"/>
      <c r="H1" s="7"/>
      <c r="I1" s="7"/>
      <c r="J1" s="8"/>
    </row>
    <row r="2" ht="15.75" customHeight="1">
      <c r="A2" s="14"/>
      <c r="B2" s="15"/>
      <c r="C2" s="15"/>
      <c r="D2" s="15"/>
      <c r="E2" s="15"/>
      <c r="F2" s="15"/>
      <c r="G2" s="15"/>
      <c r="H2" s="15"/>
      <c r="I2" s="15"/>
      <c r="J2" s="16"/>
    </row>
    <row r="3" ht="15.75" customHeight="1"/>
    <row r="4" ht="15.75" customHeight="1"/>
    <row r="5" ht="15.75" customHeight="1">
      <c r="B5" s="242" t="s">
        <v>451</v>
      </c>
      <c r="C5" s="120"/>
      <c r="D5" s="120"/>
      <c r="E5" s="120"/>
      <c r="F5" s="120"/>
      <c r="G5" s="120"/>
      <c r="H5" s="120"/>
      <c r="I5" s="121"/>
    </row>
    <row r="6" ht="15.75" customHeight="1"/>
    <row r="7" ht="15.75" customHeight="1">
      <c r="B7" s="243" t="s">
        <v>452</v>
      </c>
      <c r="C7" s="244" t="s">
        <v>453</v>
      </c>
      <c r="D7" s="244" t="s">
        <v>454</v>
      </c>
      <c r="E7" s="245" t="s">
        <v>455</v>
      </c>
      <c r="F7" s="245" t="s">
        <v>456</v>
      </c>
      <c r="G7" s="245" t="s">
        <v>457</v>
      </c>
      <c r="H7" s="245" t="s">
        <v>458</v>
      </c>
      <c r="I7" s="246" t="s">
        <v>459</v>
      </c>
      <c r="J7" s="247"/>
      <c r="K7" s="7"/>
      <c r="L7" s="7"/>
      <c r="M7" s="7"/>
      <c r="N7" s="7"/>
      <c r="O7" s="7"/>
      <c r="P7" s="8"/>
    </row>
    <row r="8" ht="15.75" customHeight="1">
      <c r="B8" s="180"/>
      <c r="C8" s="248"/>
      <c r="D8" s="248"/>
      <c r="E8" s="249"/>
      <c r="F8" s="249"/>
      <c r="G8" s="249"/>
      <c r="H8" s="249"/>
      <c r="I8" s="181"/>
      <c r="P8" s="12"/>
    </row>
    <row r="9" ht="15.75" customHeight="1">
      <c r="B9" s="250" t="s">
        <v>460</v>
      </c>
      <c r="C9" s="251">
        <v>62865.8</v>
      </c>
      <c r="D9" s="251">
        <v>130641.46</v>
      </c>
      <c r="E9" s="252">
        <v>0.3</v>
      </c>
      <c r="F9" s="252">
        <f t="shared" ref="F9:F13" si="1">C9/D9</f>
        <v>0.4812086454</v>
      </c>
      <c r="G9" s="252">
        <f t="shared" ref="G9:G13" si="2">C9/(C9+D9)</f>
        <v>0.3248756662</v>
      </c>
      <c r="H9" s="253">
        <f>'Beta Calculation'!K5</f>
        <v>1.400593891</v>
      </c>
      <c r="I9" s="254">
        <f t="shared" ref="I9:I13" si="3">H9/(1+(1-E9)*F9)</f>
        <v>1.047685251</v>
      </c>
      <c r="P9" s="12"/>
    </row>
    <row r="10" ht="15.75" customHeight="1">
      <c r="B10" s="255" t="s">
        <v>277</v>
      </c>
      <c r="C10" s="251">
        <v>250096.15</v>
      </c>
      <c r="D10" s="251">
        <v>328038.22</v>
      </c>
      <c r="E10" s="256">
        <v>0.3</v>
      </c>
      <c r="F10" s="256">
        <f t="shared" si="1"/>
        <v>0.7623994241</v>
      </c>
      <c r="G10" s="256">
        <f t="shared" si="2"/>
        <v>0.4325917347</v>
      </c>
      <c r="H10" s="257">
        <f>'Beta Calculation'!U16</f>
        <v>0.7795316331</v>
      </c>
      <c r="I10" s="254">
        <f t="shared" si="3"/>
        <v>0.5082754147</v>
      </c>
      <c r="P10" s="12"/>
    </row>
    <row r="11" ht="15.75" customHeight="1">
      <c r="B11" s="258" t="s">
        <v>461</v>
      </c>
      <c r="C11" s="251">
        <v>131030.21</v>
      </c>
      <c r="D11" s="251">
        <v>278320.57</v>
      </c>
      <c r="E11" s="259">
        <v>0.3</v>
      </c>
      <c r="F11" s="259">
        <f t="shared" si="1"/>
        <v>0.4707888102</v>
      </c>
      <c r="G11" s="259">
        <f t="shared" si="2"/>
        <v>0.3200927332</v>
      </c>
      <c r="H11" s="260">
        <f>'Beta Calculation'!U17</f>
        <v>0.4919556007</v>
      </c>
      <c r="I11" s="254">
        <f t="shared" si="3"/>
        <v>0.3700160196</v>
      </c>
      <c r="P11" s="12"/>
      <c r="R11" s="261"/>
      <c r="S11" s="261"/>
      <c r="T11" s="261"/>
      <c r="U11" s="261"/>
      <c r="V11" s="261"/>
      <c r="W11" s="261"/>
    </row>
    <row r="12" ht="15.75" customHeight="1">
      <c r="B12" s="255" t="s">
        <v>462</v>
      </c>
      <c r="C12" s="251">
        <v>80040.0</v>
      </c>
      <c r="D12" s="251">
        <v>164790.87</v>
      </c>
      <c r="E12" s="256">
        <v>0.3</v>
      </c>
      <c r="F12" s="256">
        <f t="shared" si="1"/>
        <v>0.48570652</v>
      </c>
      <c r="G12" s="256">
        <f t="shared" si="2"/>
        <v>0.3269195588</v>
      </c>
      <c r="H12" s="257">
        <f>'Beta Calculation'!U19</f>
        <v>1.065134918</v>
      </c>
      <c r="I12" s="254">
        <f t="shared" si="3"/>
        <v>0.7948800291</v>
      </c>
      <c r="P12" s="12"/>
      <c r="R12" s="47"/>
      <c r="S12" s="261"/>
      <c r="T12" s="47"/>
      <c r="W12" s="47"/>
    </row>
    <row r="13" ht="15.75" customHeight="1">
      <c r="B13" s="262" t="s">
        <v>463</v>
      </c>
      <c r="C13" s="263">
        <v>39556.78</v>
      </c>
      <c r="D13" s="263">
        <v>85935.27</v>
      </c>
      <c r="E13" s="264">
        <v>0.3</v>
      </c>
      <c r="F13" s="264">
        <f t="shared" si="1"/>
        <v>0.460309021</v>
      </c>
      <c r="G13" s="264">
        <f t="shared" si="2"/>
        <v>0.3152134338</v>
      </c>
      <c r="H13" s="265">
        <f>'Beta Calculation'!U18</f>
        <v>0.8292081634</v>
      </c>
      <c r="I13" s="266">
        <f t="shared" si="3"/>
        <v>0.6271350264</v>
      </c>
      <c r="P13" s="12"/>
      <c r="R13" s="47"/>
      <c r="S13" s="261"/>
      <c r="T13" s="47"/>
      <c r="W13" s="47"/>
    </row>
    <row r="14" ht="15.75" customHeight="1">
      <c r="P14" s="12"/>
      <c r="R14" s="47"/>
      <c r="S14" s="261"/>
      <c r="T14" s="47"/>
      <c r="U14" s="47"/>
      <c r="V14" s="47"/>
      <c r="W14" s="47"/>
    </row>
    <row r="15" ht="15.75" customHeight="1">
      <c r="D15" s="267" t="s">
        <v>186</v>
      </c>
      <c r="E15" s="268">
        <f t="shared" ref="E15:I15" si="4">AVERAGE(E9:E13)</f>
        <v>0.3</v>
      </c>
      <c r="F15" s="268">
        <f t="shared" si="4"/>
        <v>0.5320824841</v>
      </c>
      <c r="G15" s="268">
        <f t="shared" si="4"/>
        <v>0.3439386253</v>
      </c>
      <c r="H15" s="269">
        <f t="shared" si="4"/>
        <v>0.9132848413</v>
      </c>
      <c r="I15" s="270">
        <f t="shared" si="4"/>
        <v>0.6695983481</v>
      </c>
      <c r="P15" s="12"/>
      <c r="R15" s="47"/>
      <c r="S15" s="261"/>
      <c r="T15" s="47"/>
      <c r="W15" s="47"/>
    </row>
    <row r="16" ht="15.75" customHeight="1">
      <c r="D16" s="258" t="s">
        <v>464</v>
      </c>
      <c r="E16" s="271">
        <f t="shared" ref="E16:I16" si="5">MEDIAN(E9:E13)</f>
        <v>0.3</v>
      </c>
      <c r="F16" s="271">
        <f t="shared" si="5"/>
        <v>0.4812086454</v>
      </c>
      <c r="G16" s="271">
        <f t="shared" si="5"/>
        <v>0.3248756662</v>
      </c>
      <c r="H16" s="272">
        <f t="shared" si="5"/>
        <v>0.8292081634</v>
      </c>
      <c r="I16" s="273">
        <f t="shared" si="5"/>
        <v>0.6271350264</v>
      </c>
      <c r="P16" s="12"/>
      <c r="R16" s="47"/>
      <c r="S16" s="261"/>
      <c r="T16" s="47"/>
      <c r="W16" s="47"/>
    </row>
    <row r="17" ht="15.75" customHeight="1">
      <c r="D17" s="274" t="s">
        <v>465</v>
      </c>
      <c r="E17" s="275"/>
      <c r="F17" s="275"/>
      <c r="G17" s="275"/>
      <c r="H17" s="275"/>
      <c r="I17" s="276"/>
      <c r="J17" s="15"/>
      <c r="K17" s="15"/>
      <c r="L17" s="15"/>
      <c r="M17" s="15"/>
      <c r="N17" s="15"/>
      <c r="O17" s="15"/>
      <c r="P17" s="16"/>
      <c r="R17" s="47"/>
      <c r="S17" s="261"/>
      <c r="T17" s="47"/>
      <c r="U17" s="47"/>
      <c r="V17" s="47"/>
      <c r="W17" s="47"/>
    </row>
    <row r="18" ht="15.75" customHeight="1">
      <c r="R18" s="47"/>
      <c r="S18" s="261"/>
      <c r="T18" s="47"/>
      <c r="U18" s="47"/>
      <c r="V18" s="47"/>
      <c r="W18" s="47"/>
    </row>
    <row r="19" ht="15.75" customHeight="1">
      <c r="R19" s="47"/>
      <c r="S19" s="261"/>
      <c r="T19" s="47"/>
      <c r="U19" s="47"/>
      <c r="V19" s="47"/>
      <c r="W19" s="47"/>
    </row>
    <row r="20" ht="15.75" customHeight="1">
      <c r="B20" s="277" t="s">
        <v>466</v>
      </c>
      <c r="C20" s="123"/>
      <c r="D20" s="123"/>
      <c r="E20" s="124"/>
      <c r="F20" s="41"/>
      <c r="H20" s="278" t="s">
        <v>467</v>
      </c>
      <c r="I20" s="3"/>
      <c r="J20" s="279">
        <f>I15</f>
        <v>0.6695983481</v>
      </c>
    </row>
    <row r="21" ht="15.75" customHeight="1">
      <c r="B21" s="280" t="s">
        <v>468</v>
      </c>
      <c r="C21" s="3"/>
      <c r="D21" s="281">
        <f>C9</f>
        <v>62865.8</v>
      </c>
      <c r="E21" s="282">
        <f>D21/D23</f>
        <v>0.3248756662</v>
      </c>
      <c r="H21" s="283" t="s">
        <v>469</v>
      </c>
      <c r="I21" s="3"/>
      <c r="J21" s="284">
        <f>E25</f>
        <v>0.4812086454</v>
      </c>
    </row>
    <row r="22" ht="15.75" customHeight="1">
      <c r="B22" s="285" t="s">
        <v>470</v>
      </c>
      <c r="C22" s="3"/>
      <c r="D22" s="286">
        <f>D9</f>
        <v>130641.46</v>
      </c>
      <c r="E22" s="287">
        <f>D22/D23</f>
        <v>0.6751243338</v>
      </c>
      <c r="H22" s="288" t="s">
        <v>471</v>
      </c>
      <c r="I22" s="3"/>
      <c r="J22" s="289">
        <f>E15</f>
        <v>0.3</v>
      </c>
    </row>
    <row r="23" ht="15.75" customHeight="1">
      <c r="B23" s="290" t="s">
        <v>472</v>
      </c>
      <c r="C23" s="291"/>
      <c r="D23" s="292">
        <f t="shared" ref="D23:E23" si="6">D21+D22</f>
        <v>193507.26</v>
      </c>
      <c r="E23" s="293">
        <f t="shared" si="6"/>
        <v>1</v>
      </c>
      <c r="H23" s="294" t="s">
        <v>458</v>
      </c>
      <c r="I23" s="3"/>
      <c r="J23" s="295">
        <f>J20*(1+(1-E15)*J21)</f>
        <v>0.895149908</v>
      </c>
    </row>
    <row r="24" ht="15.75" customHeight="1"/>
    <row r="25" ht="15.75" customHeight="1">
      <c r="B25" s="296" t="s">
        <v>473</v>
      </c>
      <c r="C25" s="120"/>
      <c r="D25" s="120"/>
      <c r="E25" s="297">
        <f>E21/E22</f>
        <v>0.4812086454</v>
      </c>
      <c r="H25" s="298" t="s">
        <v>474</v>
      </c>
      <c r="I25" s="3"/>
      <c r="J25" s="299">
        <v>0.06316</v>
      </c>
      <c r="L25" s="300"/>
      <c r="M25" s="300"/>
    </row>
    <row r="26" ht="15.75" customHeight="1">
      <c r="H26" s="301" t="s">
        <v>475</v>
      </c>
      <c r="I26" s="3"/>
      <c r="J26" s="302">
        <v>0.16624799999999998</v>
      </c>
      <c r="L26" s="303"/>
      <c r="M26" s="300"/>
    </row>
    <row r="27" ht="15.75" customHeight="1">
      <c r="H27" s="304" t="s">
        <v>476</v>
      </c>
      <c r="I27" s="3"/>
      <c r="J27" s="256">
        <f>J26-J25</f>
        <v>0.103088</v>
      </c>
    </row>
    <row r="28" ht="15.75" customHeight="1">
      <c r="B28" s="305"/>
      <c r="H28" s="294" t="s">
        <v>477</v>
      </c>
      <c r="I28" s="3"/>
      <c r="J28" s="306">
        <f>J25+J27*J23</f>
        <v>0.1554392137</v>
      </c>
    </row>
    <row r="29" ht="15.75" customHeight="1">
      <c r="B29" s="305"/>
      <c r="H29" s="283" t="s">
        <v>478</v>
      </c>
      <c r="I29" s="2"/>
      <c r="J29" s="3"/>
    </row>
    <row r="30" ht="15.75" customHeight="1"/>
    <row r="31" ht="15.75" customHeight="1"/>
    <row r="32" ht="15.75" customHeight="1"/>
    <row r="33" ht="15.75" customHeight="1"/>
    <row r="34" ht="15.75" customHeight="1"/>
    <row r="35" ht="15.75" customHeight="1"/>
    <row r="36" ht="15.75" customHeight="1"/>
    <row r="37" ht="15.75" customHeight="1"/>
    <row r="38" ht="15.75" customHeight="1">
      <c r="F38" s="30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8">
    <mergeCell ref="A1:J2"/>
    <mergeCell ref="B5:I5"/>
    <mergeCell ref="J7:P17"/>
    <mergeCell ref="D17:I17"/>
    <mergeCell ref="B20:E20"/>
    <mergeCell ref="H20:I20"/>
    <mergeCell ref="H21:I21"/>
    <mergeCell ref="H26:I26"/>
    <mergeCell ref="H27:I27"/>
    <mergeCell ref="H28:I28"/>
    <mergeCell ref="H29:J29"/>
    <mergeCell ref="B21:C21"/>
    <mergeCell ref="B22:C22"/>
    <mergeCell ref="H22:I22"/>
    <mergeCell ref="B23:C23"/>
    <mergeCell ref="H23:I23"/>
    <mergeCell ref="B25:D25"/>
    <mergeCell ref="H25:I25"/>
  </mergeCells>
  <hyperlinks>
    <hyperlink r:id="rId1" ref="B9"/>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89"/>
    <col customWidth="1" min="2" max="4" width="10.56"/>
    <col customWidth="1" min="5" max="5" width="11.22"/>
    <col customWidth="1" min="6" max="12" width="10.56"/>
    <col customWidth="1" min="13" max="13" width="17.44"/>
    <col customWidth="1" min="14" max="14" width="19.33"/>
    <col customWidth="1" min="15" max="15" width="20.11"/>
    <col customWidth="1" min="16" max="16" width="20.0"/>
    <col customWidth="1" min="17" max="17" width="19.0"/>
    <col customWidth="1" min="18" max="18" width="19.67"/>
    <col customWidth="1" min="19" max="19" width="66.78"/>
    <col customWidth="1" min="20" max="27" width="10.56"/>
  </cols>
  <sheetData>
    <row r="1" ht="15.75" customHeight="1">
      <c r="A1" s="308"/>
      <c r="B1" s="309" t="s">
        <v>479</v>
      </c>
      <c r="C1" s="7"/>
      <c r="D1" s="7"/>
      <c r="E1" s="7"/>
      <c r="F1" s="7"/>
      <c r="G1" s="7"/>
      <c r="H1" s="7"/>
      <c r="I1" s="7"/>
      <c r="J1" s="7"/>
      <c r="K1" s="7"/>
      <c r="L1" s="7"/>
      <c r="M1" s="7"/>
      <c r="N1" s="7"/>
      <c r="O1" s="7"/>
      <c r="P1" s="7"/>
      <c r="Q1" s="8"/>
    </row>
    <row r="2" ht="15.75" customHeight="1">
      <c r="A2" s="308"/>
      <c r="B2" s="11"/>
      <c r="Q2" s="12"/>
    </row>
    <row r="3" ht="15.75" customHeight="1">
      <c r="A3" s="308"/>
      <c r="B3" s="14"/>
      <c r="C3" s="15"/>
      <c r="D3" s="15"/>
      <c r="E3" s="15"/>
      <c r="F3" s="15"/>
      <c r="G3" s="15"/>
      <c r="H3" s="15"/>
      <c r="I3" s="15"/>
      <c r="J3" s="15"/>
      <c r="K3" s="15"/>
      <c r="L3" s="15"/>
      <c r="M3" s="15"/>
      <c r="N3" s="15"/>
      <c r="O3" s="15"/>
      <c r="P3" s="15"/>
      <c r="Q3" s="16"/>
    </row>
    <row r="4" ht="15.75" customHeight="1"/>
    <row r="5" ht="15.75" customHeight="1">
      <c r="A5" s="310"/>
      <c r="B5" s="311" t="s">
        <v>480</v>
      </c>
      <c r="C5" s="2"/>
      <c r="D5" s="2"/>
      <c r="E5" s="3"/>
      <c r="L5" s="312" t="s">
        <v>481</v>
      </c>
      <c r="M5" s="2"/>
      <c r="N5" s="2"/>
      <c r="O5" s="2"/>
      <c r="P5" s="3"/>
    </row>
    <row r="6" ht="15.75" customHeight="1">
      <c r="L6" s="313" t="s">
        <v>482</v>
      </c>
      <c r="M6" s="314">
        <v>0.0</v>
      </c>
      <c r="N6" s="314">
        <v>0.0433</v>
      </c>
      <c r="O6" s="314">
        <v>0.0</v>
      </c>
      <c r="P6" s="314">
        <v>0.25</v>
      </c>
    </row>
    <row r="7" ht="15.75" customHeight="1">
      <c r="L7" s="313" t="s">
        <v>483</v>
      </c>
      <c r="M7" s="315">
        <v>0.0218</v>
      </c>
      <c r="N7" s="314">
        <v>0.0726</v>
      </c>
      <c r="O7" s="314">
        <v>0.0293</v>
      </c>
      <c r="P7" s="314">
        <v>0.3</v>
      </c>
    </row>
    <row r="8" ht="15.75" customHeight="1">
      <c r="A8" s="316"/>
      <c r="B8" s="317" t="s">
        <v>484</v>
      </c>
      <c r="C8" s="2"/>
      <c r="D8" s="2"/>
      <c r="E8" s="3"/>
      <c r="G8" s="317" t="s">
        <v>485</v>
      </c>
      <c r="H8" s="2"/>
      <c r="I8" s="2"/>
      <c r="J8" s="3"/>
      <c r="L8" s="318"/>
      <c r="M8" s="319" t="s">
        <v>486</v>
      </c>
      <c r="N8" s="320" t="s">
        <v>487</v>
      </c>
      <c r="O8" s="320" t="s">
        <v>488</v>
      </c>
      <c r="P8" s="320" t="s">
        <v>489</v>
      </c>
    </row>
    <row r="9" ht="15.75" customHeight="1">
      <c r="A9" s="321"/>
      <c r="B9" s="322" t="s">
        <v>490</v>
      </c>
      <c r="C9" s="2"/>
      <c r="D9" s="2"/>
      <c r="E9" s="3"/>
      <c r="F9" s="323"/>
      <c r="G9" s="324" t="s">
        <v>491</v>
      </c>
      <c r="H9" s="2"/>
      <c r="I9" s="2"/>
      <c r="J9" s="3"/>
    </row>
    <row r="10" ht="15.75" customHeight="1">
      <c r="A10" s="325"/>
      <c r="B10" s="326" t="s">
        <v>492</v>
      </c>
      <c r="C10" s="326" t="s">
        <v>493</v>
      </c>
      <c r="D10" s="326" t="s">
        <v>494</v>
      </c>
      <c r="E10" s="326" t="s">
        <v>495</v>
      </c>
      <c r="F10" s="323"/>
      <c r="G10" s="327" t="s">
        <v>496</v>
      </c>
      <c r="H10" s="327" t="s">
        <v>493</v>
      </c>
      <c r="I10" s="327" t="s">
        <v>494</v>
      </c>
      <c r="J10" s="327" t="s">
        <v>495</v>
      </c>
      <c r="L10" s="328" t="s">
        <v>497</v>
      </c>
      <c r="M10" s="328" t="s">
        <v>498</v>
      </c>
      <c r="N10" s="328" t="s">
        <v>499</v>
      </c>
      <c r="O10" s="329">
        <f>'Bottom_Up(Beta) &amp; Ke'!J25+Kd!E19+Kd!M7</f>
        <v>0.10046</v>
      </c>
      <c r="P10" s="330" t="s">
        <v>500</v>
      </c>
      <c r="Q10" s="2"/>
      <c r="R10" s="2"/>
      <c r="S10" s="3"/>
    </row>
    <row r="11" ht="15.75" customHeight="1">
      <c r="A11" s="331"/>
      <c r="B11" s="327">
        <v>-100000.0</v>
      </c>
      <c r="C11" s="327">
        <v>0.199999</v>
      </c>
      <c r="D11" s="332" t="s">
        <v>501</v>
      </c>
      <c r="E11" s="333">
        <v>0.19</v>
      </c>
      <c r="F11" s="323"/>
      <c r="G11" s="327">
        <v>-100000.0</v>
      </c>
      <c r="H11" s="327">
        <v>0.049999</v>
      </c>
      <c r="I11" s="332" t="s">
        <v>501</v>
      </c>
      <c r="J11" s="334">
        <v>0.19</v>
      </c>
      <c r="L11" s="328"/>
      <c r="M11" s="328" t="s">
        <v>502</v>
      </c>
      <c r="N11" s="328"/>
      <c r="O11" s="328"/>
      <c r="P11" s="335"/>
      <c r="Q11" s="2"/>
      <c r="R11" s="2"/>
      <c r="S11" s="3"/>
    </row>
    <row r="12" ht="15.75" customHeight="1">
      <c r="A12" s="331"/>
      <c r="B12" s="327">
        <v>0.2</v>
      </c>
      <c r="C12" s="327">
        <v>0.649999</v>
      </c>
      <c r="D12" s="332" t="s">
        <v>503</v>
      </c>
      <c r="E12" s="333">
        <v>0.155</v>
      </c>
      <c r="F12" s="323"/>
      <c r="G12" s="327">
        <v>0.05</v>
      </c>
      <c r="H12" s="327">
        <v>0.099999</v>
      </c>
      <c r="I12" s="332" t="s">
        <v>503</v>
      </c>
      <c r="J12" s="334">
        <v>0.155</v>
      </c>
      <c r="L12" s="328" t="s">
        <v>504</v>
      </c>
      <c r="M12" s="336" t="s">
        <v>505</v>
      </c>
      <c r="N12" s="336" t="s">
        <v>197</v>
      </c>
      <c r="O12" s="337">
        <f>('Profit and Loss Statement'!N14/'Balance Sheet'!N5)*100</f>
        <v>10.4405462</v>
      </c>
      <c r="P12" s="338" t="s">
        <v>506</v>
      </c>
      <c r="Q12" s="2"/>
      <c r="R12" s="2"/>
      <c r="S12" s="3"/>
    </row>
    <row r="13" ht="15.75" customHeight="1">
      <c r="A13" s="331"/>
      <c r="B13" s="327">
        <v>0.65</v>
      </c>
      <c r="C13" s="327">
        <v>0.799999</v>
      </c>
      <c r="D13" s="332" t="s">
        <v>507</v>
      </c>
      <c r="E13" s="333">
        <v>0.101</v>
      </c>
      <c r="F13" s="323"/>
      <c r="G13" s="327">
        <v>0.1</v>
      </c>
      <c r="H13" s="327">
        <v>0.199999</v>
      </c>
      <c r="I13" s="332" t="s">
        <v>507</v>
      </c>
      <c r="J13" s="334">
        <v>0.101</v>
      </c>
      <c r="L13" s="328"/>
      <c r="M13" s="328"/>
      <c r="N13" s="328"/>
      <c r="O13" s="328"/>
      <c r="P13" s="335"/>
      <c r="Q13" s="2"/>
      <c r="R13" s="2"/>
      <c r="S13" s="3"/>
    </row>
    <row r="14" ht="15.75" customHeight="1">
      <c r="A14" s="331"/>
      <c r="B14" s="327">
        <v>0.8</v>
      </c>
      <c r="C14" s="327">
        <v>1.249999</v>
      </c>
      <c r="D14" s="332" t="s">
        <v>508</v>
      </c>
      <c r="E14" s="333">
        <v>0.0728</v>
      </c>
      <c r="F14" s="323"/>
      <c r="G14" s="327">
        <v>0.2</v>
      </c>
      <c r="H14" s="327">
        <v>0.299999</v>
      </c>
      <c r="I14" s="332" t="s">
        <v>508</v>
      </c>
      <c r="J14" s="334">
        <v>0.0728</v>
      </c>
      <c r="L14" s="339" t="s">
        <v>509</v>
      </c>
      <c r="M14" s="2"/>
      <c r="N14" s="3"/>
      <c r="O14" s="340">
        <f>O10*(1-0.3)</f>
        <v>0.070322</v>
      </c>
      <c r="P14" s="341"/>
      <c r="Q14" s="2"/>
      <c r="R14" s="2"/>
      <c r="S14" s="3"/>
    </row>
    <row r="15" ht="15.75" customHeight="1">
      <c r="A15" s="331"/>
      <c r="B15" s="327">
        <v>1.25</v>
      </c>
      <c r="C15" s="327">
        <v>1.499999</v>
      </c>
      <c r="D15" s="332" t="s">
        <v>510</v>
      </c>
      <c r="E15" s="333">
        <v>0.0442</v>
      </c>
      <c r="F15" s="323"/>
      <c r="G15" s="327">
        <v>0.3</v>
      </c>
      <c r="H15" s="327">
        <v>0.399999</v>
      </c>
      <c r="I15" s="332" t="s">
        <v>510</v>
      </c>
      <c r="J15" s="334">
        <v>0.0442</v>
      </c>
    </row>
    <row r="16" ht="15.75" customHeight="1">
      <c r="A16" s="331"/>
      <c r="B16" s="327">
        <v>1.5</v>
      </c>
      <c r="C16" s="327">
        <v>1.749999</v>
      </c>
      <c r="D16" s="332" t="s">
        <v>511</v>
      </c>
      <c r="E16" s="333">
        <v>0.03</v>
      </c>
      <c r="F16" s="323"/>
      <c r="G16" s="327">
        <v>0.4</v>
      </c>
      <c r="H16" s="327">
        <v>0.499999</v>
      </c>
      <c r="I16" s="332" t="s">
        <v>511</v>
      </c>
      <c r="J16" s="334">
        <v>0.03</v>
      </c>
      <c r="L16" s="74"/>
      <c r="M16" s="19"/>
      <c r="N16" s="19"/>
      <c r="O16" s="19"/>
      <c r="P16" s="19"/>
      <c r="Q16" s="19"/>
      <c r="R16" s="19"/>
      <c r="S16" s="19"/>
      <c r="T16" s="19"/>
      <c r="U16" s="19"/>
      <c r="V16" s="19"/>
      <c r="W16" s="19"/>
      <c r="X16" s="19"/>
      <c r="Y16" s="19"/>
      <c r="Z16" s="19"/>
      <c r="AA16" s="19"/>
    </row>
    <row r="17" ht="15.75" customHeight="1">
      <c r="A17" s="331"/>
      <c r="B17" s="327">
        <v>1.75</v>
      </c>
      <c r="C17" s="327">
        <v>1.999999</v>
      </c>
      <c r="D17" s="332" t="s">
        <v>512</v>
      </c>
      <c r="E17" s="333">
        <v>0.0261</v>
      </c>
      <c r="F17" s="323"/>
      <c r="G17" s="327">
        <v>0.5</v>
      </c>
      <c r="H17" s="327">
        <v>0.599999</v>
      </c>
      <c r="I17" s="332" t="s">
        <v>512</v>
      </c>
      <c r="J17" s="334">
        <v>0.0261</v>
      </c>
      <c r="L17" s="342"/>
    </row>
    <row r="18" ht="15.75" customHeight="1">
      <c r="A18" s="331"/>
      <c r="B18" s="327">
        <v>2.0</v>
      </c>
      <c r="C18" s="327">
        <v>2.2499999</v>
      </c>
      <c r="D18" s="332" t="s">
        <v>513</v>
      </c>
      <c r="E18" s="333">
        <v>0.0183</v>
      </c>
      <c r="F18" s="323"/>
      <c r="G18" s="327">
        <v>0.6</v>
      </c>
      <c r="H18" s="327">
        <v>0.749999</v>
      </c>
      <c r="I18" s="332" t="s">
        <v>513</v>
      </c>
      <c r="J18" s="334">
        <v>0.0183</v>
      </c>
    </row>
    <row r="19" ht="15.75" customHeight="1">
      <c r="A19" s="343"/>
      <c r="B19" s="344">
        <v>2.25</v>
      </c>
      <c r="C19" s="344">
        <v>2.49999</v>
      </c>
      <c r="D19" s="345" t="s">
        <v>514</v>
      </c>
      <c r="E19" s="346">
        <v>0.0155</v>
      </c>
      <c r="F19" s="323"/>
      <c r="G19" s="327">
        <v>0.75</v>
      </c>
      <c r="H19" s="327">
        <v>0.899999</v>
      </c>
      <c r="I19" s="332" t="s">
        <v>514</v>
      </c>
      <c r="J19" s="334">
        <v>0.0155</v>
      </c>
    </row>
    <row r="20" ht="15.75" customHeight="1">
      <c r="A20" s="331"/>
      <c r="B20" s="327">
        <v>2.5</v>
      </c>
      <c r="C20" s="327">
        <v>2.999999</v>
      </c>
      <c r="D20" s="332" t="s">
        <v>515</v>
      </c>
      <c r="E20" s="333">
        <v>0.012</v>
      </c>
      <c r="F20" s="323"/>
      <c r="G20" s="327">
        <v>0.9</v>
      </c>
      <c r="H20" s="327">
        <v>1.199999</v>
      </c>
      <c r="I20" s="332" t="s">
        <v>515</v>
      </c>
      <c r="J20" s="334">
        <v>0.012</v>
      </c>
      <c r="L20" s="19"/>
      <c r="M20" s="19"/>
      <c r="N20" s="19"/>
      <c r="O20" s="19"/>
      <c r="P20" s="19"/>
      <c r="Q20" s="19"/>
      <c r="R20" s="19"/>
      <c r="S20" s="19"/>
      <c r="T20" s="19"/>
      <c r="U20" s="19"/>
      <c r="V20" s="19"/>
      <c r="W20" s="19"/>
      <c r="X20" s="19"/>
      <c r="Y20" s="19"/>
      <c r="Z20" s="19"/>
      <c r="AA20" s="19"/>
    </row>
    <row r="21" ht="15.75" customHeight="1">
      <c r="A21" s="331"/>
      <c r="B21" s="327">
        <v>3.0</v>
      </c>
      <c r="C21" s="327">
        <v>4.249999</v>
      </c>
      <c r="D21" s="332" t="s">
        <v>516</v>
      </c>
      <c r="E21" s="333">
        <v>0.0095</v>
      </c>
      <c r="F21" s="323"/>
      <c r="G21" s="327">
        <v>1.2</v>
      </c>
      <c r="H21" s="327">
        <v>1.49999</v>
      </c>
      <c r="I21" s="332" t="s">
        <v>516</v>
      </c>
      <c r="J21" s="334">
        <v>0.0095</v>
      </c>
      <c r="L21" s="19"/>
      <c r="Q21" s="19"/>
      <c r="R21" s="19"/>
      <c r="S21" s="19"/>
      <c r="T21" s="19"/>
      <c r="U21" s="19"/>
      <c r="V21" s="19"/>
      <c r="W21" s="19"/>
      <c r="X21" s="19"/>
      <c r="Y21" s="19"/>
      <c r="Z21" s="19"/>
      <c r="AA21" s="19"/>
    </row>
    <row r="22" ht="15.75" customHeight="1">
      <c r="A22" s="331"/>
      <c r="B22" s="327">
        <v>4.25</v>
      </c>
      <c r="C22" s="327">
        <v>5.499999</v>
      </c>
      <c r="D22" s="332" t="s">
        <v>517</v>
      </c>
      <c r="E22" s="333">
        <v>0.0085</v>
      </c>
      <c r="F22" s="323"/>
      <c r="G22" s="327">
        <v>1.5</v>
      </c>
      <c r="H22" s="327">
        <v>1.99999</v>
      </c>
      <c r="I22" s="332" t="s">
        <v>517</v>
      </c>
      <c r="J22" s="334">
        <v>0.0085</v>
      </c>
      <c r="L22" s="347"/>
      <c r="M22" s="348"/>
      <c r="N22" s="348"/>
      <c r="O22" s="348"/>
      <c r="P22" s="348"/>
      <c r="Q22" s="19"/>
      <c r="R22" s="19"/>
      <c r="S22" s="19"/>
      <c r="T22" s="19"/>
      <c r="U22" s="19"/>
      <c r="V22" s="19"/>
      <c r="W22" s="19"/>
      <c r="X22" s="19"/>
      <c r="Y22" s="19"/>
      <c r="Z22" s="19"/>
      <c r="AA22" s="19"/>
    </row>
    <row r="23" ht="15.75" customHeight="1">
      <c r="A23" s="331"/>
      <c r="B23" s="327">
        <v>5.5</v>
      </c>
      <c r="C23" s="327">
        <v>6.499999</v>
      </c>
      <c r="D23" s="332" t="s">
        <v>518</v>
      </c>
      <c r="E23" s="333">
        <v>0.0077</v>
      </c>
      <c r="F23" s="323"/>
      <c r="G23" s="327">
        <v>2.0</v>
      </c>
      <c r="H23" s="327">
        <v>2.49999</v>
      </c>
      <c r="I23" s="332" t="s">
        <v>518</v>
      </c>
      <c r="J23" s="334">
        <v>0.0077</v>
      </c>
      <c r="L23" s="347"/>
      <c r="M23" s="348"/>
      <c r="N23" s="348"/>
      <c r="O23" s="348"/>
      <c r="P23" s="348"/>
      <c r="Q23" s="19"/>
      <c r="R23" s="19"/>
      <c r="S23" s="19"/>
      <c r="T23" s="19"/>
      <c r="U23" s="19"/>
      <c r="V23" s="19"/>
      <c r="W23" s="19"/>
      <c r="X23" s="19"/>
      <c r="Y23" s="19"/>
      <c r="Z23" s="19"/>
      <c r="AA23" s="19"/>
    </row>
    <row r="24" ht="15.75" customHeight="1">
      <c r="A24" s="331"/>
      <c r="B24" s="327">
        <v>6.5</v>
      </c>
      <c r="C24" s="327">
        <v>8.499999</v>
      </c>
      <c r="D24" s="332" t="s">
        <v>519</v>
      </c>
      <c r="E24" s="333">
        <v>0.006</v>
      </c>
      <c r="F24" s="323"/>
      <c r="G24" s="327">
        <v>2.5</v>
      </c>
      <c r="H24" s="327">
        <v>2.99999</v>
      </c>
      <c r="I24" s="332" t="s">
        <v>519</v>
      </c>
      <c r="J24" s="334">
        <v>0.006</v>
      </c>
      <c r="L24" s="19"/>
      <c r="M24" s="349"/>
      <c r="N24" s="350"/>
      <c r="O24" s="350"/>
      <c r="P24" s="350"/>
      <c r="Q24" s="19"/>
      <c r="R24" s="19"/>
      <c r="S24" s="19"/>
      <c r="T24" s="19"/>
      <c r="U24" s="19"/>
      <c r="V24" s="19"/>
      <c r="W24" s="19"/>
      <c r="X24" s="19"/>
      <c r="Y24" s="19"/>
      <c r="Z24" s="19"/>
      <c r="AA24" s="19"/>
    </row>
    <row r="25" ht="15.75" customHeight="1">
      <c r="A25" s="331"/>
      <c r="B25" s="327">
        <v>8.5</v>
      </c>
      <c r="C25" s="327">
        <v>100000.0</v>
      </c>
      <c r="D25" s="332" t="s">
        <v>520</v>
      </c>
      <c r="E25" s="333">
        <v>0.0045</v>
      </c>
      <c r="F25" s="323"/>
      <c r="G25" s="327">
        <v>3.0</v>
      </c>
      <c r="H25" s="327">
        <v>100000.0</v>
      </c>
      <c r="I25" s="332" t="s">
        <v>520</v>
      </c>
      <c r="J25" s="334">
        <v>0.0045</v>
      </c>
      <c r="L25" s="351"/>
      <c r="P25" s="19"/>
      <c r="Q25" s="19"/>
      <c r="R25" s="19"/>
      <c r="S25" s="19"/>
      <c r="T25" s="19"/>
      <c r="U25" s="19"/>
      <c r="V25" s="19"/>
      <c r="W25" s="19"/>
      <c r="X25" s="19"/>
      <c r="Y25" s="19"/>
      <c r="Z25" s="19"/>
      <c r="AA25" s="19"/>
    </row>
    <row r="26" ht="15.75" customHeight="1">
      <c r="A26" s="323"/>
      <c r="B26" s="323"/>
      <c r="C26" s="323"/>
      <c r="D26" s="323"/>
      <c r="E26" s="323"/>
      <c r="F26" s="323"/>
      <c r="G26" s="323"/>
      <c r="H26" s="323"/>
      <c r="I26" s="323"/>
      <c r="J26" s="323"/>
      <c r="L26" s="352"/>
      <c r="P26" s="19"/>
      <c r="Q26" s="19"/>
      <c r="R26" s="19"/>
      <c r="S26" s="19"/>
      <c r="T26" s="19"/>
      <c r="U26" s="19"/>
      <c r="V26" s="19"/>
      <c r="W26" s="19"/>
      <c r="X26" s="19"/>
      <c r="Y26" s="19"/>
      <c r="Z26" s="19"/>
      <c r="AA26" s="19"/>
    </row>
    <row r="27" ht="15.75" customHeight="1">
      <c r="A27" s="316"/>
      <c r="B27" s="317" t="s">
        <v>521</v>
      </c>
      <c r="C27" s="2"/>
      <c r="D27" s="2"/>
      <c r="E27" s="3"/>
      <c r="F27" s="323"/>
      <c r="G27" s="323"/>
      <c r="H27" s="323"/>
      <c r="L27" s="353"/>
      <c r="P27" s="19"/>
      <c r="Q27" s="19"/>
      <c r="R27" s="19"/>
      <c r="S27" s="19"/>
      <c r="T27" s="19"/>
      <c r="U27" s="19"/>
      <c r="V27" s="19"/>
      <c r="W27" s="19"/>
      <c r="X27" s="19"/>
      <c r="Y27" s="19"/>
      <c r="Z27" s="19"/>
      <c r="AA27" s="19"/>
    </row>
    <row r="28" ht="15.75" customHeight="1">
      <c r="A28" s="321"/>
      <c r="B28" s="322" t="s">
        <v>490</v>
      </c>
      <c r="C28" s="2"/>
      <c r="D28" s="2"/>
      <c r="E28" s="3"/>
      <c r="F28" s="323"/>
      <c r="G28" s="323"/>
      <c r="L28" s="19"/>
      <c r="M28" s="19"/>
      <c r="N28" s="19"/>
      <c r="O28" s="19"/>
      <c r="P28" s="19"/>
      <c r="Q28" s="19"/>
      <c r="R28" s="303"/>
      <c r="S28" s="19"/>
      <c r="T28" s="19"/>
      <c r="U28" s="19"/>
      <c r="V28" s="19"/>
      <c r="W28" s="19"/>
      <c r="X28" s="19"/>
      <c r="Y28" s="19"/>
      <c r="Z28" s="19"/>
      <c r="AA28" s="19"/>
    </row>
    <row r="29" ht="15.75" customHeight="1">
      <c r="A29" s="331"/>
      <c r="B29" s="327" t="s">
        <v>496</v>
      </c>
      <c r="C29" s="327" t="s">
        <v>493</v>
      </c>
      <c r="D29" s="327" t="s">
        <v>494</v>
      </c>
      <c r="E29" s="327" t="s">
        <v>495</v>
      </c>
      <c r="F29" s="323"/>
      <c r="G29" s="323"/>
      <c r="L29" s="354"/>
      <c r="M29" s="354"/>
      <c r="N29" s="354"/>
      <c r="O29" s="355"/>
      <c r="P29" s="74"/>
      <c r="Q29" s="19"/>
      <c r="R29" s="19"/>
      <c r="S29" s="19"/>
      <c r="T29" s="19"/>
      <c r="U29" s="19"/>
      <c r="V29" s="19"/>
      <c r="W29" s="19"/>
      <c r="X29" s="19"/>
      <c r="Y29" s="19"/>
      <c r="Z29" s="19"/>
      <c r="AA29" s="19"/>
    </row>
    <row r="30" ht="15.75" customHeight="1">
      <c r="A30" s="331"/>
      <c r="B30" s="327">
        <v>-100000.0</v>
      </c>
      <c r="C30" s="327">
        <v>0.499999</v>
      </c>
      <c r="D30" s="332" t="s">
        <v>501</v>
      </c>
      <c r="E30" s="333">
        <v>0.19</v>
      </c>
      <c r="F30" s="323"/>
      <c r="G30" s="323"/>
      <c r="L30" s="354"/>
      <c r="M30" s="354"/>
      <c r="N30" s="354"/>
      <c r="O30" s="354"/>
      <c r="P30" s="19"/>
      <c r="Q30" s="19"/>
      <c r="R30" s="19"/>
      <c r="S30" s="19"/>
      <c r="T30" s="19"/>
      <c r="U30" s="19"/>
      <c r="V30" s="19"/>
      <c r="W30" s="19"/>
      <c r="X30" s="19"/>
      <c r="Y30" s="19"/>
      <c r="Z30" s="19"/>
      <c r="AA30" s="19"/>
    </row>
    <row r="31" ht="15.75" customHeight="1">
      <c r="A31" s="331"/>
      <c r="B31" s="327">
        <v>0.5</v>
      </c>
      <c r="C31" s="327">
        <v>0.799999</v>
      </c>
      <c r="D31" s="332" t="s">
        <v>503</v>
      </c>
      <c r="E31" s="333">
        <v>0.155</v>
      </c>
      <c r="F31" s="323"/>
      <c r="G31" s="323"/>
      <c r="L31" s="354"/>
      <c r="M31" s="356"/>
      <c r="N31" s="356"/>
      <c r="O31" s="357"/>
      <c r="P31" s="19"/>
      <c r="Q31" s="19"/>
      <c r="R31" s="19"/>
      <c r="S31" s="19"/>
      <c r="T31" s="19"/>
      <c r="U31" s="19"/>
      <c r="V31" s="19"/>
      <c r="W31" s="19"/>
      <c r="X31" s="19"/>
      <c r="Y31" s="19"/>
      <c r="Z31" s="19"/>
      <c r="AA31" s="19"/>
    </row>
    <row r="32" ht="15.75" customHeight="1">
      <c r="A32" s="331"/>
      <c r="B32" s="327">
        <v>0.8</v>
      </c>
      <c r="C32" s="327">
        <v>1.249999</v>
      </c>
      <c r="D32" s="332" t="s">
        <v>507</v>
      </c>
      <c r="E32" s="333">
        <v>0.101</v>
      </c>
      <c r="F32" s="323"/>
      <c r="G32" s="323"/>
      <c r="L32" s="354"/>
      <c r="M32" s="354"/>
      <c r="N32" s="354"/>
      <c r="O32" s="354"/>
      <c r="P32" s="19"/>
      <c r="Q32" s="19"/>
      <c r="R32" s="19"/>
      <c r="S32" s="19"/>
      <c r="T32" s="19"/>
      <c r="U32" s="19"/>
      <c r="V32" s="19"/>
      <c r="W32" s="19"/>
      <c r="X32" s="19"/>
      <c r="Y32" s="19"/>
      <c r="Z32" s="19"/>
      <c r="AA32" s="19"/>
    </row>
    <row r="33" ht="15.75" customHeight="1">
      <c r="A33" s="331"/>
      <c r="B33" s="327">
        <v>1.25</v>
      </c>
      <c r="C33" s="327">
        <v>1.499999</v>
      </c>
      <c r="D33" s="332" t="s">
        <v>508</v>
      </c>
      <c r="E33" s="333">
        <v>0.0728</v>
      </c>
      <c r="F33" s="323"/>
      <c r="G33" s="323"/>
      <c r="J33" s="358"/>
      <c r="L33" s="359"/>
      <c r="O33" s="360"/>
      <c r="P33" s="19"/>
      <c r="Q33" s="19"/>
      <c r="R33" s="19"/>
      <c r="S33" s="19"/>
      <c r="T33" s="19"/>
      <c r="U33" s="19"/>
      <c r="V33" s="19"/>
      <c r="W33" s="19"/>
      <c r="X33" s="19"/>
      <c r="Y33" s="19"/>
      <c r="Z33" s="19"/>
      <c r="AA33" s="19"/>
    </row>
    <row r="34" ht="15.75" customHeight="1">
      <c r="A34" s="331"/>
      <c r="B34" s="327">
        <v>1.5</v>
      </c>
      <c r="C34" s="327">
        <v>1.999999</v>
      </c>
      <c r="D34" s="332" t="s">
        <v>510</v>
      </c>
      <c r="E34" s="333">
        <v>0.0442</v>
      </c>
      <c r="F34" s="323"/>
      <c r="G34" s="323"/>
      <c r="L34" s="19"/>
      <c r="M34" s="19"/>
      <c r="N34" s="19"/>
      <c r="O34" s="19"/>
      <c r="P34" s="19"/>
      <c r="Q34" s="19"/>
      <c r="R34" s="19"/>
      <c r="S34" s="19"/>
      <c r="T34" s="19"/>
      <c r="U34" s="19"/>
      <c r="V34" s="19"/>
      <c r="W34" s="19"/>
      <c r="X34" s="19"/>
      <c r="Y34" s="19"/>
      <c r="Z34" s="19"/>
      <c r="AA34" s="19"/>
    </row>
    <row r="35" ht="15.75" customHeight="1">
      <c r="A35" s="331"/>
      <c r="B35" s="327">
        <v>2.0</v>
      </c>
      <c r="C35" s="327">
        <v>2.499999</v>
      </c>
      <c r="D35" s="332" t="s">
        <v>511</v>
      </c>
      <c r="E35" s="333">
        <v>0.03</v>
      </c>
      <c r="F35" s="323"/>
      <c r="G35" s="323"/>
    </row>
    <row r="36" ht="15.75" customHeight="1">
      <c r="A36" s="331"/>
      <c r="B36" s="327">
        <v>2.5</v>
      </c>
      <c r="C36" s="327">
        <v>2.999999</v>
      </c>
      <c r="D36" s="332" t="s">
        <v>512</v>
      </c>
      <c r="E36" s="333">
        <v>0.0261</v>
      </c>
      <c r="F36" s="323"/>
      <c r="G36" s="323"/>
    </row>
    <row r="37" ht="15.75" customHeight="1">
      <c r="A37" s="331"/>
      <c r="B37" s="327">
        <v>3.0</v>
      </c>
      <c r="C37" s="327">
        <v>3.499999</v>
      </c>
      <c r="D37" s="332" t="s">
        <v>513</v>
      </c>
      <c r="E37" s="333">
        <v>0.0183</v>
      </c>
      <c r="F37" s="323"/>
      <c r="G37" s="323"/>
    </row>
    <row r="38" ht="15.75" customHeight="1">
      <c r="A38" s="331"/>
      <c r="B38" s="327">
        <v>3.5</v>
      </c>
      <c r="C38" s="327">
        <v>3.9999999</v>
      </c>
      <c r="D38" s="332" t="s">
        <v>514</v>
      </c>
      <c r="E38" s="333">
        <v>0.0155</v>
      </c>
      <c r="F38" s="323"/>
      <c r="G38" s="323"/>
    </row>
    <row r="39" ht="15.75" customHeight="1">
      <c r="A39" s="331"/>
      <c r="B39" s="327">
        <v>4.0</v>
      </c>
      <c r="C39" s="327">
        <v>4.499999</v>
      </c>
      <c r="D39" s="332" t="s">
        <v>515</v>
      </c>
      <c r="E39" s="333">
        <v>0.012</v>
      </c>
      <c r="F39" s="323"/>
      <c r="G39" s="323"/>
    </row>
    <row r="40" ht="15.75" customHeight="1">
      <c r="A40" s="331"/>
      <c r="B40" s="327">
        <v>4.5</v>
      </c>
      <c r="C40" s="327">
        <v>5.999999</v>
      </c>
      <c r="D40" s="332" t="s">
        <v>516</v>
      </c>
      <c r="E40" s="333">
        <v>0.0095</v>
      </c>
      <c r="F40" s="323"/>
      <c r="G40" s="323"/>
    </row>
    <row r="41" ht="15.75" customHeight="1">
      <c r="A41" s="331"/>
      <c r="B41" s="327">
        <v>6.0</v>
      </c>
      <c r="C41" s="327">
        <v>7.499999</v>
      </c>
      <c r="D41" s="332" t="s">
        <v>517</v>
      </c>
      <c r="E41" s="333">
        <v>0.0085</v>
      </c>
      <c r="F41" s="323"/>
      <c r="G41" s="323"/>
    </row>
    <row r="42" ht="15.75" customHeight="1">
      <c r="A42" s="331"/>
      <c r="B42" s="327">
        <v>7.5</v>
      </c>
      <c r="C42" s="327">
        <v>9.499999</v>
      </c>
      <c r="D42" s="332" t="s">
        <v>518</v>
      </c>
      <c r="E42" s="333">
        <v>0.0077</v>
      </c>
      <c r="F42" s="323"/>
      <c r="G42" s="323"/>
    </row>
    <row r="43" ht="15.75" customHeight="1">
      <c r="A43" s="331"/>
      <c r="B43" s="327">
        <v>9.5</v>
      </c>
      <c r="C43" s="327">
        <v>12.499999</v>
      </c>
      <c r="D43" s="332" t="s">
        <v>519</v>
      </c>
      <c r="E43" s="333">
        <v>0.006</v>
      </c>
      <c r="F43" s="323"/>
    </row>
    <row r="44" ht="15.75" customHeight="1">
      <c r="A44" s="331"/>
      <c r="B44" s="327">
        <v>12.5</v>
      </c>
      <c r="C44" s="327">
        <v>100000.0</v>
      </c>
      <c r="D44" s="332" t="s">
        <v>520</v>
      </c>
      <c r="E44" s="333">
        <v>0.0045</v>
      </c>
      <c r="F44" s="323"/>
      <c r="G44" s="361"/>
      <c r="H44" s="361"/>
      <c r="I44" s="323"/>
      <c r="J44" s="323"/>
    </row>
    <row r="45" ht="15.75" customHeight="1"/>
    <row r="46" ht="15.75" customHeight="1">
      <c r="C46" s="36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1:Q3"/>
    <mergeCell ref="B5:E5"/>
    <mergeCell ref="L5:P5"/>
    <mergeCell ref="B8:E8"/>
    <mergeCell ref="G8:J8"/>
    <mergeCell ref="B9:E9"/>
    <mergeCell ref="G9:J9"/>
    <mergeCell ref="L21:P21"/>
    <mergeCell ref="L25:O25"/>
    <mergeCell ref="L26:O26"/>
    <mergeCell ref="B27:E27"/>
    <mergeCell ref="L27:O27"/>
    <mergeCell ref="B28:E28"/>
    <mergeCell ref="L33:N33"/>
    <mergeCell ref="P10:S10"/>
    <mergeCell ref="P11:S11"/>
    <mergeCell ref="P12:S12"/>
    <mergeCell ref="P13:S13"/>
    <mergeCell ref="L14:N14"/>
    <mergeCell ref="P14:S14"/>
    <mergeCell ref="L17:AA1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44"/>
    <col customWidth="1" min="2" max="2" width="36.44"/>
    <col customWidth="1" min="3" max="3" width="10.56"/>
    <col customWidth="1" min="4" max="4" width="16.67"/>
    <col customWidth="1" min="5" max="5" width="10.56"/>
    <col customWidth="1" min="6" max="6" width="11.78"/>
    <col customWidth="1" min="7" max="26" width="10.56"/>
  </cols>
  <sheetData>
    <row r="1" ht="15.75" customHeight="1">
      <c r="A1" s="363" t="s">
        <v>24</v>
      </c>
      <c r="B1" s="3"/>
      <c r="C1" s="305"/>
      <c r="D1" s="305"/>
      <c r="E1" s="305"/>
    </row>
    <row r="2" ht="15.75" customHeight="1">
      <c r="A2" s="364"/>
      <c r="B2" s="3"/>
      <c r="C2" s="305"/>
      <c r="D2" s="305"/>
      <c r="E2" s="305"/>
    </row>
    <row r="3" ht="15.75" customHeight="1">
      <c r="A3" s="26" t="s">
        <v>522</v>
      </c>
      <c r="B3" s="365">
        <f>'Bottom_Up(Beta) &amp; Ke'!E21</f>
        <v>0.3248756662</v>
      </c>
      <c r="C3" s="230"/>
    </row>
    <row r="4" ht="15.75" customHeight="1">
      <c r="A4" s="29" t="s">
        <v>523</v>
      </c>
      <c r="B4" s="366">
        <f>Kd!O10</f>
        <v>0.10046</v>
      </c>
    </row>
    <row r="5" ht="15.75" customHeight="1">
      <c r="A5" s="26" t="s">
        <v>524</v>
      </c>
      <c r="B5" s="365">
        <f>Kd!O14</f>
        <v>0.070322</v>
      </c>
      <c r="C5" s="230"/>
    </row>
    <row r="6" ht="15.75" customHeight="1">
      <c r="A6" s="367" t="s">
        <v>525</v>
      </c>
      <c r="B6" s="3"/>
      <c r="C6" s="230"/>
      <c r="H6" s="368"/>
      <c r="I6" s="305"/>
    </row>
    <row r="7" ht="15.75" customHeight="1">
      <c r="A7" s="369"/>
      <c r="B7" s="3"/>
      <c r="C7" s="230"/>
      <c r="H7" s="368"/>
      <c r="I7" s="305"/>
    </row>
    <row r="8" ht="15.75" customHeight="1">
      <c r="A8" s="26" t="s">
        <v>526</v>
      </c>
      <c r="B8" s="370">
        <f>'Bottom_Up(Beta) &amp; Ke'!E22</f>
        <v>0.6751243338</v>
      </c>
      <c r="C8" s="230"/>
    </row>
    <row r="9" ht="15.75" customHeight="1">
      <c r="A9" s="26" t="s">
        <v>527</v>
      </c>
      <c r="B9" s="365">
        <f>'Bottom_Up(Beta) &amp; Ke'!J28</f>
        <v>0.1554392137</v>
      </c>
    </row>
    <row r="10" ht="15.75" customHeight="1">
      <c r="A10" s="371" t="s">
        <v>528</v>
      </c>
      <c r="B10" s="3"/>
      <c r="C10" s="230"/>
    </row>
    <row r="11" ht="15.75" customHeight="1">
      <c r="A11" s="369"/>
      <c r="B11" s="3"/>
      <c r="C11" s="230"/>
    </row>
    <row r="12" ht="15.75" customHeight="1">
      <c r="A12" s="372" t="s">
        <v>24</v>
      </c>
      <c r="B12" s="373">
        <f>B9*B8+B5*B3</f>
        <v>0.1277867022</v>
      </c>
      <c r="C12" s="230"/>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A6:B6"/>
    <mergeCell ref="A7:B7"/>
    <mergeCell ref="A10:B10"/>
    <mergeCell ref="A11:B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33"/>
    <col customWidth="1" min="2" max="2" width="28.67"/>
    <col customWidth="1" min="3" max="27" width="10.56"/>
  </cols>
  <sheetData>
    <row r="1" ht="15.75" customHeight="1">
      <c r="B1" s="41" t="s">
        <v>529</v>
      </c>
      <c r="C1" s="41"/>
      <c r="D1" s="41"/>
      <c r="E1" s="41"/>
      <c r="F1" s="41"/>
      <c r="G1" s="41"/>
    </row>
    <row r="2" ht="15.75" customHeight="1">
      <c r="B2" s="374"/>
      <c r="C2" s="40">
        <v>41699.0</v>
      </c>
      <c r="D2" s="40">
        <v>42064.0</v>
      </c>
      <c r="E2" s="40">
        <v>42430.0</v>
      </c>
      <c r="F2" s="40">
        <v>42795.0</v>
      </c>
      <c r="G2" s="40">
        <v>43160.0</v>
      </c>
      <c r="H2" s="40">
        <v>43525.0</v>
      </c>
      <c r="I2" s="40">
        <v>43891.0</v>
      </c>
      <c r="J2" s="40">
        <v>44256.0</v>
      </c>
      <c r="K2" s="40">
        <v>44621.0</v>
      </c>
      <c r="L2" s="40">
        <v>44986.0</v>
      </c>
      <c r="M2" s="40">
        <v>45352.0</v>
      </c>
      <c r="N2" s="40">
        <v>45717.0</v>
      </c>
    </row>
    <row r="3" ht="15.75" customHeight="1">
      <c r="B3" s="375" t="s">
        <v>33</v>
      </c>
      <c r="C3" s="23">
        <v>237.0</v>
      </c>
      <c r="D3" s="23">
        <v>270.0</v>
      </c>
      <c r="E3" s="23">
        <v>270.0</v>
      </c>
      <c r="F3" s="23">
        <v>270.0</v>
      </c>
      <c r="G3" s="23">
        <v>270.0</v>
      </c>
      <c r="H3" s="23">
        <v>270.0</v>
      </c>
      <c r="I3" s="23">
        <v>270.0</v>
      </c>
      <c r="J3" s="23">
        <v>320.0</v>
      </c>
      <c r="K3" s="23">
        <v>320.0</v>
      </c>
      <c r="L3" s="23">
        <v>320.0</v>
      </c>
      <c r="M3" s="23">
        <v>320.0</v>
      </c>
      <c r="N3" s="23">
        <v>320.0</v>
      </c>
    </row>
    <row r="4" ht="15.75" customHeight="1">
      <c r="B4" s="376" t="s">
        <v>34</v>
      </c>
      <c r="C4" s="377">
        <v>12164.0</v>
      </c>
      <c r="D4" s="377">
        <v>14048.0</v>
      </c>
      <c r="E4" s="377">
        <v>11363.0</v>
      </c>
      <c r="F4" s="377">
        <v>12944.0</v>
      </c>
      <c r="G4" s="377">
        <v>16129.0</v>
      </c>
      <c r="H4" s="377">
        <v>18035.0</v>
      </c>
      <c r="I4" s="377">
        <v>19296.0</v>
      </c>
      <c r="J4" s="377">
        <v>22003.0</v>
      </c>
      <c r="K4" s="377">
        <v>22122.0</v>
      </c>
      <c r="L4" s="377">
        <v>28468.0</v>
      </c>
      <c r="M4" s="377">
        <v>32036.0</v>
      </c>
      <c r="N4" s="377">
        <v>35521.0</v>
      </c>
    </row>
    <row r="5" ht="15.75" customHeight="1">
      <c r="B5" s="375" t="s">
        <v>35</v>
      </c>
      <c r="C5" s="24"/>
      <c r="D5" s="24"/>
      <c r="E5" s="24"/>
      <c r="F5" s="24"/>
      <c r="G5" s="24"/>
      <c r="H5" s="24"/>
      <c r="I5" s="24"/>
      <c r="J5" s="24"/>
      <c r="K5" s="24"/>
      <c r="L5" s="24"/>
      <c r="M5" s="24"/>
      <c r="N5" s="24"/>
    </row>
    <row r="6" ht="15.75" customHeight="1">
      <c r="B6" s="376" t="s">
        <v>36</v>
      </c>
      <c r="C6" s="377">
        <v>30470.0</v>
      </c>
      <c r="D6" s="377">
        <v>32393.0</v>
      </c>
      <c r="E6" s="377">
        <v>22414.0</v>
      </c>
      <c r="F6" s="377">
        <v>25143.0</v>
      </c>
      <c r="G6" s="377">
        <v>22356.0</v>
      </c>
      <c r="H6" s="377">
        <v>31139.0</v>
      </c>
      <c r="I6" s="377">
        <v>32695.0</v>
      </c>
      <c r="J6" s="377">
        <v>30045.0</v>
      </c>
      <c r="K6" s="377">
        <v>32730.0</v>
      </c>
      <c r="L6" s="377">
        <v>30708.0</v>
      </c>
      <c r="M6" s="377">
        <v>37392.0</v>
      </c>
      <c r="N6" s="377">
        <v>44130.0</v>
      </c>
    </row>
    <row r="7" ht="15.75" customHeight="1">
      <c r="B7" s="376" t="s">
        <v>37</v>
      </c>
      <c r="C7" s="377">
        <v>4707.0</v>
      </c>
      <c r="D7" s="377">
        <v>4587.0</v>
      </c>
      <c r="E7" s="377">
        <v>14589.0</v>
      </c>
      <c r="F7" s="377">
        <v>16280.0</v>
      </c>
      <c r="G7" s="377">
        <v>18827.0</v>
      </c>
      <c r="H7" s="377">
        <v>13875.0</v>
      </c>
      <c r="I7" s="377">
        <v>11844.0</v>
      </c>
      <c r="J7" s="377">
        <v>13126.0</v>
      </c>
      <c r="K7" s="377">
        <v>14860.0</v>
      </c>
      <c r="L7" s="377">
        <v>18266.0</v>
      </c>
      <c r="M7" s="377">
        <v>12088.0</v>
      </c>
      <c r="N7" s="377">
        <v>14016.0</v>
      </c>
    </row>
    <row r="8" ht="15.75" customHeight="1">
      <c r="B8" s="376" t="s">
        <v>38</v>
      </c>
      <c r="C8" s="23">
        <v>0.0</v>
      </c>
      <c r="D8" s="23">
        <v>0.0</v>
      </c>
      <c r="E8" s="23">
        <v>0.0</v>
      </c>
      <c r="F8" s="23">
        <v>0.0</v>
      </c>
      <c r="G8" s="23">
        <v>0.0</v>
      </c>
      <c r="H8" s="23">
        <v>0.0</v>
      </c>
      <c r="I8" s="23">
        <v>279.0</v>
      </c>
      <c r="J8" s="24">
        <v>2749.0</v>
      </c>
      <c r="K8" s="24">
        <v>2859.0</v>
      </c>
      <c r="L8" s="24">
        <v>3054.0</v>
      </c>
      <c r="M8" s="24">
        <v>3086.0</v>
      </c>
      <c r="N8" s="24">
        <v>3094.0</v>
      </c>
    </row>
    <row r="9" ht="15.75" customHeight="1">
      <c r="B9" s="376" t="s">
        <v>39</v>
      </c>
      <c r="C9" s="377">
        <v>4996.0</v>
      </c>
      <c r="D9" s="377">
        <v>3627.0</v>
      </c>
      <c r="E9" s="377">
        <v>1846.0</v>
      </c>
      <c r="F9" s="377">
        <v>7393.0</v>
      </c>
      <c r="G9" s="377">
        <v>7406.0</v>
      </c>
      <c r="H9" s="377">
        <v>3491.0</v>
      </c>
      <c r="I9" s="377">
        <v>3836.0</v>
      </c>
      <c r="J9" s="378">
        <v>0.0</v>
      </c>
      <c r="K9" s="378">
        <v>0.0</v>
      </c>
      <c r="L9" s="378">
        <v>0.0</v>
      </c>
      <c r="M9" s="378">
        <v>0.0</v>
      </c>
      <c r="N9" s="378">
        <v>0.0</v>
      </c>
    </row>
    <row r="10" ht="15.75" customHeight="1">
      <c r="B10" s="375" t="s">
        <v>40</v>
      </c>
      <c r="C10" s="24"/>
      <c r="D10" s="24"/>
      <c r="E10" s="24"/>
      <c r="F10" s="24"/>
      <c r="G10" s="24"/>
      <c r="H10" s="24"/>
      <c r="I10" s="24"/>
      <c r="J10" s="24"/>
      <c r="K10" s="24"/>
      <c r="L10" s="24"/>
      <c r="M10" s="24"/>
      <c r="N10" s="24"/>
    </row>
    <row r="11" ht="15.75" customHeight="1">
      <c r="B11" s="376" t="s">
        <v>41</v>
      </c>
      <c r="C11" s="377">
        <v>4574.0</v>
      </c>
      <c r="D11" s="377">
        <v>5235.0</v>
      </c>
      <c r="E11" s="377">
        <v>4401.0</v>
      </c>
      <c r="F11" s="377">
        <v>5529.0</v>
      </c>
      <c r="G11" s="377">
        <v>5610.0</v>
      </c>
      <c r="H11" s="377">
        <v>5481.0</v>
      </c>
      <c r="I11" s="377">
        <v>5095.0</v>
      </c>
      <c r="J11" s="377">
        <v>7146.0</v>
      </c>
      <c r="K11" s="377">
        <v>10460.0</v>
      </c>
      <c r="L11" s="377">
        <v>7407.0</v>
      </c>
      <c r="M11" s="377">
        <v>14093.0</v>
      </c>
      <c r="N11" s="377">
        <v>13984.0</v>
      </c>
    </row>
    <row r="12" ht="15.75" customHeight="1">
      <c r="B12" s="376" t="s">
        <v>42</v>
      </c>
      <c r="C12" s="378">
        <v>560.0</v>
      </c>
      <c r="D12" s="378">
        <v>377.0</v>
      </c>
      <c r="E12" s="378">
        <v>220.0</v>
      </c>
      <c r="F12" s="378">
        <v>413.0</v>
      </c>
      <c r="G12" s="378">
        <v>559.0</v>
      </c>
      <c r="H12" s="378">
        <v>485.0</v>
      </c>
      <c r="I12" s="378">
        <v>782.0</v>
      </c>
      <c r="J12" s="377">
        <v>1209.0</v>
      </c>
      <c r="K12" s="377">
        <v>1180.0</v>
      </c>
      <c r="L12" s="377">
        <v>2458.0</v>
      </c>
      <c r="M12" s="377">
        <v>2197.0</v>
      </c>
      <c r="N12" s="377">
        <v>1579.0</v>
      </c>
    </row>
    <row r="13" ht="15.75" customHeight="1">
      <c r="B13" s="376" t="s">
        <v>43</v>
      </c>
      <c r="C13" s="377">
        <v>11402.0</v>
      </c>
      <c r="D13" s="377">
        <v>12154.0</v>
      </c>
      <c r="E13" s="377">
        <v>13204.0</v>
      </c>
      <c r="F13" s="377">
        <v>12989.0</v>
      </c>
      <c r="G13" s="377">
        <v>8718.0</v>
      </c>
      <c r="H13" s="377">
        <v>9129.0</v>
      </c>
      <c r="I13" s="377">
        <v>9962.0</v>
      </c>
      <c r="J13" s="377">
        <v>18342.0</v>
      </c>
      <c r="K13" s="377">
        <v>23687.0</v>
      </c>
      <c r="L13" s="377">
        <v>31104.0</v>
      </c>
      <c r="M13" s="377">
        <v>30742.0</v>
      </c>
      <c r="N13" s="377">
        <v>35158.0</v>
      </c>
    </row>
    <row r="14" ht="15.75" customHeight="1">
      <c r="B14" s="375" t="s">
        <v>44</v>
      </c>
      <c r="C14" s="377">
        <v>71383.0</v>
      </c>
      <c r="D14" s="377">
        <v>75185.0</v>
      </c>
      <c r="E14" s="377">
        <v>70057.0</v>
      </c>
      <c r="F14" s="377">
        <v>82829.0</v>
      </c>
      <c r="G14" s="377">
        <v>81892.0</v>
      </c>
      <c r="H14" s="377">
        <v>84073.0</v>
      </c>
      <c r="I14" s="377">
        <v>89674.0</v>
      </c>
      <c r="J14" s="377">
        <v>98655.0</v>
      </c>
      <c r="K14" s="377">
        <v>112550.0</v>
      </c>
      <c r="L14" s="377">
        <v>128096.0</v>
      </c>
      <c r="M14" s="377">
        <v>139054.0</v>
      </c>
      <c r="N14" s="377">
        <v>156193.0</v>
      </c>
    </row>
    <row r="15" ht="15.75" customHeight="1">
      <c r="B15" s="376"/>
      <c r="C15" s="24"/>
      <c r="D15" s="24"/>
      <c r="E15" s="24"/>
      <c r="F15" s="24"/>
      <c r="G15" s="24"/>
      <c r="H15" s="24"/>
      <c r="I15" s="24"/>
      <c r="J15" s="24"/>
      <c r="K15" s="24"/>
      <c r="L15" s="24"/>
      <c r="M15" s="24"/>
      <c r="N15" s="24"/>
    </row>
    <row r="16" ht="15.75" customHeight="1">
      <c r="B16" s="375" t="s">
        <v>45</v>
      </c>
      <c r="C16" s="24"/>
      <c r="D16" s="24"/>
      <c r="E16" s="24"/>
      <c r="F16" s="24"/>
      <c r="G16" s="24"/>
      <c r="H16" s="24"/>
      <c r="I16" s="24"/>
      <c r="J16" s="24"/>
      <c r="K16" s="24"/>
      <c r="L16" s="24"/>
      <c r="M16" s="24"/>
      <c r="N16" s="24"/>
    </row>
    <row r="17" ht="15.75" customHeight="1">
      <c r="B17" s="376" t="s">
        <v>46</v>
      </c>
      <c r="C17" s="378">
        <v>939.0</v>
      </c>
      <c r="D17" s="377">
        <v>1431.0</v>
      </c>
      <c r="E17" s="378">
        <v>919.0</v>
      </c>
      <c r="F17" s="377">
        <v>1079.0</v>
      </c>
      <c r="G17" s="378">
        <v>974.0</v>
      </c>
      <c r="H17" s="377">
        <v>1032.0</v>
      </c>
      <c r="I17" s="377">
        <v>2071.0</v>
      </c>
      <c r="J17" s="377">
        <v>2186.0</v>
      </c>
      <c r="K17" s="377">
        <v>2284.0</v>
      </c>
      <c r="L17" s="377">
        <v>2672.0</v>
      </c>
      <c r="M17" s="377">
        <v>3352.0</v>
      </c>
      <c r="N17" s="377">
        <v>4087.0</v>
      </c>
      <c r="O17" s="47"/>
      <c r="P17" s="47"/>
      <c r="Q17" s="30"/>
      <c r="R17" s="47"/>
      <c r="S17" s="30"/>
      <c r="T17" s="47"/>
      <c r="U17" s="30"/>
      <c r="V17" s="30"/>
      <c r="W17" s="30"/>
      <c r="X17" s="30"/>
      <c r="Y17" s="30"/>
      <c r="Z17" s="30"/>
      <c r="AA17" s="30"/>
    </row>
    <row r="18" ht="15.75" customHeight="1">
      <c r="B18" s="376" t="s">
        <v>47</v>
      </c>
      <c r="C18" s="377">
        <v>2687.0</v>
      </c>
      <c r="D18" s="377">
        <v>2927.0</v>
      </c>
      <c r="E18" s="377">
        <v>2696.0</v>
      </c>
      <c r="F18" s="377">
        <v>2792.0</v>
      </c>
      <c r="G18" s="377">
        <v>2906.0</v>
      </c>
      <c r="H18" s="377">
        <v>2938.0</v>
      </c>
      <c r="I18" s="377">
        <v>3058.0</v>
      </c>
      <c r="J18" s="377">
        <v>3826.0</v>
      </c>
      <c r="K18" s="377">
        <v>4043.0</v>
      </c>
      <c r="L18" s="377">
        <v>4432.0</v>
      </c>
      <c r="M18" s="377">
        <v>4503.0</v>
      </c>
      <c r="N18" s="377">
        <v>5615.0</v>
      </c>
      <c r="O18" s="47"/>
      <c r="P18" s="30"/>
      <c r="Q18" s="30"/>
      <c r="R18" s="30"/>
      <c r="S18" s="30"/>
      <c r="T18" s="30"/>
      <c r="U18" s="30"/>
      <c r="V18" s="30"/>
      <c r="W18" s="30"/>
      <c r="X18" s="30"/>
      <c r="Y18" s="30"/>
      <c r="Z18" s="30"/>
      <c r="AA18" s="30"/>
    </row>
    <row r="19" ht="15.75" customHeight="1">
      <c r="B19" s="376" t="s">
        <v>48</v>
      </c>
      <c r="C19" s="377">
        <v>40297.0</v>
      </c>
      <c r="D19" s="377">
        <v>41848.0</v>
      </c>
      <c r="E19" s="377">
        <v>36484.0</v>
      </c>
      <c r="F19" s="377">
        <v>44014.0</v>
      </c>
      <c r="G19" s="377">
        <v>43914.0</v>
      </c>
      <c r="H19" s="377">
        <v>44924.0</v>
      </c>
      <c r="I19" s="377">
        <v>47425.0</v>
      </c>
      <c r="J19" s="377">
        <v>48607.0</v>
      </c>
      <c r="K19" s="377">
        <v>52664.0</v>
      </c>
      <c r="L19" s="377">
        <v>55799.0</v>
      </c>
      <c r="M19" s="377">
        <v>59919.0</v>
      </c>
      <c r="N19" s="377">
        <v>68397.0</v>
      </c>
      <c r="O19" s="47"/>
      <c r="P19" s="30"/>
      <c r="Q19" s="30"/>
      <c r="R19" s="30"/>
      <c r="S19" s="30"/>
      <c r="T19" s="30"/>
      <c r="U19" s="30"/>
      <c r="V19" s="30"/>
      <c r="W19" s="30"/>
      <c r="X19" s="30"/>
      <c r="Y19" s="30"/>
      <c r="Z19" s="30"/>
      <c r="AA19" s="30"/>
    </row>
    <row r="20" ht="15.75" customHeight="1">
      <c r="B20" s="376" t="s">
        <v>49</v>
      </c>
      <c r="C20" s="377">
        <v>5561.0</v>
      </c>
      <c r="D20" s="377">
        <v>6129.0</v>
      </c>
      <c r="E20" s="377">
        <v>4941.0</v>
      </c>
      <c r="F20" s="377">
        <v>5317.0</v>
      </c>
      <c r="G20" s="377">
        <v>5812.0</v>
      </c>
      <c r="H20" s="377">
        <v>6364.0</v>
      </c>
      <c r="I20" s="377">
        <v>6967.0</v>
      </c>
      <c r="J20" s="377">
        <v>11790.0</v>
      </c>
      <c r="K20" s="377">
        <v>15200.0</v>
      </c>
      <c r="L20" s="377">
        <v>18485.0</v>
      </c>
      <c r="M20" s="377">
        <v>22097.0</v>
      </c>
      <c r="N20" s="377">
        <v>26523.0</v>
      </c>
      <c r="O20" s="47"/>
      <c r="P20" s="30"/>
      <c r="Q20" s="30"/>
      <c r="R20" s="30"/>
      <c r="S20" s="30"/>
      <c r="T20" s="30"/>
      <c r="U20" s="30"/>
      <c r="V20" s="30"/>
      <c r="W20" s="30"/>
      <c r="X20" s="30"/>
      <c r="Y20" s="30"/>
      <c r="Z20" s="30"/>
      <c r="AA20" s="30"/>
    </row>
    <row r="21" ht="15.75" customHeight="1">
      <c r="B21" s="376" t="s">
        <v>50</v>
      </c>
      <c r="C21" s="378">
        <v>114.0</v>
      </c>
      <c r="D21" s="378">
        <v>127.0</v>
      </c>
      <c r="E21" s="378">
        <v>133.0</v>
      </c>
      <c r="F21" s="378">
        <v>137.0</v>
      </c>
      <c r="G21" s="378">
        <v>122.0</v>
      </c>
      <c r="H21" s="378">
        <v>120.0</v>
      </c>
      <c r="I21" s="378">
        <v>118.0</v>
      </c>
      <c r="J21" s="378">
        <v>134.0</v>
      </c>
      <c r="K21" s="378">
        <v>144.0</v>
      </c>
      <c r="L21" s="378">
        <v>167.0</v>
      </c>
      <c r="M21" s="378">
        <v>187.0</v>
      </c>
      <c r="N21" s="378">
        <v>207.0</v>
      </c>
      <c r="O21" s="47"/>
      <c r="P21" s="47"/>
      <c r="Q21" s="47"/>
      <c r="R21" s="47"/>
      <c r="S21" s="47"/>
      <c r="T21" s="47"/>
      <c r="U21" s="47"/>
      <c r="V21" s="47"/>
      <c r="W21" s="47"/>
      <c r="X21" s="47"/>
      <c r="Y21" s="47"/>
      <c r="Z21" s="47"/>
      <c r="AA21" s="47"/>
    </row>
    <row r="22" ht="15.75" customHeight="1">
      <c r="B22" s="376" t="s">
        <v>51</v>
      </c>
      <c r="C22" s="378">
        <v>104.0</v>
      </c>
      <c r="D22" s="378">
        <v>100.0</v>
      </c>
      <c r="E22" s="378">
        <v>94.0</v>
      </c>
      <c r="F22" s="378">
        <v>96.0</v>
      </c>
      <c r="G22" s="378">
        <v>99.0</v>
      </c>
      <c r="H22" s="378">
        <v>103.0</v>
      </c>
      <c r="I22" s="378">
        <v>104.0</v>
      </c>
      <c r="J22" s="378">
        <v>0.0</v>
      </c>
      <c r="K22" s="378">
        <v>0.0</v>
      </c>
      <c r="L22" s="378">
        <v>0.0</v>
      </c>
      <c r="M22" s="378">
        <v>0.0</v>
      </c>
      <c r="N22" s="378">
        <v>0.0</v>
      </c>
      <c r="O22" s="47"/>
      <c r="P22" s="47"/>
      <c r="Q22" s="47"/>
      <c r="R22" s="47"/>
      <c r="S22" s="47"/>
      <c r="T22" s="47"/>
      <c r="U22" s="47"/>
      <c r="V22" s="47"/>
      <c r="W22" s="47"/>
      <c r="X22" s="47"/>
      <c r="Y22" s="47"/>
      <c r="Z22" s="47"/>
      <c r="AA22" s="47"/>
    </row>
    <row r="23" ht="15.75" customHeight="1">
      <c r="B23" s="376" t="s">
        <v>52</v>
      </c>
      <c r="C23" s="378">
        <v>259.0</v>
      </c>
      <c r="D23" s="378">
        <v>250.0</v>
      </c>
      <c r="E23" s="378">
        <v>110.0</v>
      </c>
      <c r="F23" s="378">
        <v>220.0</v>
      </c>
      <c r="G23" s="378">
        <v>250.0</v>
      </c>
      <c r="H23" s="378">
        <v>245.0</v>
      </c>
      <c r="I23" s="378">
        <v>235.0</v>
      </c>
      <c r="J23" s="378">
        <v>228.0</v>
      </c>
      <c r="K23" s="378">
        <v>225.0</v>
      </c>
      <c r="L23" s="378">
        <v>247.0</v>
      </c>
      <c r="M23" s="378">
        <v>300.0</v>
      </c>
      <c r="N23" s="378">
        <v>327.0</v>
      </c>
      <c r="O23" s="47"/>
      <c r="P23" s="47"/>
      <c r="Q23" s="47"/>
      <c r="R23" s="47"/>
      <c r="S23" s="47"/>
      <c r="T23" s="47"/>
      <c r="U23" s="47"/>
      <c r="V23" s="47"/>
      <c r="W23" s="47"/>
      <c r="X23" s="47"/>
      <c r="Y23" s="47"/>
      <c r="Z23" s="47"/>
      <c r="AA23" s="47"/>
    </row>
    <row r="24" ht="15.75" customHeight="1">
      <c r="B24" s="376" t="s">
        <v>53</v>
      </c>
      <c r="C24" s="377">
        <v>6395.0</v>
      </c>
      <c r="D24" s="377">
        <v>6706.0</v>
      </c>
      <c r="E24" s="378">
        <v>99.0</v>
      </c>
      <c r="F24" s="377">
        <v>1768.0</v>
      </c>
      <c r="G24" s="377">
        <v>1666.0</v>
      </c>
      <c r="H24" s="377">
        <v>1654.0</v>
      </c>
      <c r="I24" s="377">
        <v>1646.0</v>
      </c>
      <c r="J24" s="377">
        <v>1800.0</v>
      </c>
      <c r="K24" s="377">
        <v>1864.0</v>
      </c>
      <c r="L24" s="377">
        <v>1865.0</v>
      </c>
      <c r="M24" s="377">
        <v>1903.0</v>
      </c>
      <c r="N24" s="377">
        <v>1807.0</v>
      </c>
      <c r="O24" s="47"/>
      <c r="P24" s="30"/>
      <c r="Q24" s="30"/>
      <c r="R24" s="47"/>
      <c r="S24" s="30"/>
      <c r="T24" s="30"/>
      <c r="U24" s="30"/>
      <c r="V24" s="30"/>
      <c r="W24" s="30"/>
      <c r="X24" s="30"/>
      <c r="Y24" s="30"/>
      <c r="Z24" s="30"/>
      <c r="AA24" s="30"/>
    </row>
    <row r="25" ht="15.75" customHeight="1">
      <c r="B25" s="376" t="s">
        <v>54</v>
      </c>
      <c r="C25" s="377">
        <v>5011.0</v>
      </c>
      <c r="D25" s="377">
        <v>5404.0</v>
      </c>
      <c r="E25" s="377">
        <v>2192.0</v>
      </c>
      <c r="F25" s="377">
        <v>4211.0</v>
      </c>
      <c r="G25" s="377">
        <v>4265.0</v>
      </c>
      <c r="H25" s="377">
        <v>4233.0</v>
      </c>
      <c r="I25" s="377">
        <v>5441.0</v>
      </c>
      <c r="J25" s="377">
        <v>5584.0</v>
      </c>
      <c r="K25" s="377">
        <v>5876.0</v>
      </c>
      <c r="L25" s="377">
        <v>6229.0</v>
      </c>
      <c r="M25" s="377">
        <v>6519.0</v>
      </c>
      <c r="N25" s="377">
        <v>6722.0</v>
      </c>
      <c r="O25" s="47"/>
      <c r="P25" s="30"/>
      <c r="Q25" s="30"/>
      <c r="R25" s="30"/>
      <c r="S25" s="30"/>
      <c r="T25" s="30"/>
      <c r="U25" s="30"/>
      <c r="V25" s="30"/>
      <c r="W25" s="30"/>
      <c r="X25" s="30"/>
      <c r="Y25" s="30"/>
      <c r="Z25" s="30"/>
      <c r="AA25" s="30"/>
    </row>
    <row r="26" ht="15.75" customHeight="1">
      <c r="B26" s="375" t="s">
        <v>55</v>
      </c>
      <c r="C26" s="377">
        <v>61367.0</v>
      </c>
      <c r="D26" s="377">
        <v>64925.0</v>
      </c>
      <c r="E26" s="377">
        <v>47667.0</v>
      </c>
      <c r="F26" s="377">
        <v>59634.0</v>
      </c>
      <c r="G26" s="377">
        <v>60008.0</v>
      </c>
      <c r="H26" s="377">
        <v>61613.0</v>
      </c>
      <c r="I26" s="377">
        <v>67064.0</v>
      </c>
      <c r="J26" s="377">
        <v>74156.0</v>
      </c>
      <c r="K26" s="377">
        <v>82301.0</v>
      </c>
      <c r="L26" s="377">
        <v>89897.0</v>
      </c>
      <c r="M26" s="377">
        <v>98781.0</v>
      </c>
      <c r="N26" s="377">
        <v>113686.0</v>
      </c>
    </row>
    <row r="27" ht="15.75" customHeight="1">
      <c r="B27" s="375" t="s">
        <v>56</v>
      </c>
      <c r="C27" s="377">
        <v>17973.0</v>
      </c>
      <c r="D27" s="377">
        <v>20199.0</v>
      </c>
      <c r="E27" s="377">
        <v>11254.0</v>
      </c>
      <c r="F27" s="377">
        <v>13040.0</v>
      </c>
      <c r="G27" s="377">
        <v>15352.0</v>
      </c>
      <c r="H27" s="377">
        <v>17308.0</v>
      </c>
      <c r="I27" s="377">
        <v>19398.0</v>
      </c>
      <c r="J27" s="377">
        <v>21976.0</v>
      </c>
      <c r="K27" s="377">
        <v>24911.0</v>
      </c>
      <c r="L27" s="377">
        <v>28150.0</v>
      </c>
      <c r="M27" s="377">
        <v>31470.0</v>
      </c>
      <c r="N27" s="377">
        <v>35205.0</v>
      </c>
    </row>
    <row r="28" ht="15.75" customHeight="1">
      <c r="B28" s="375" t="s">
        <v>530</v>
      </c>
      <c r="C28" s="24">
        <f t="shared" ref="C28:N28" si="1">C26-C27</f>
        <v>43394</v>
      </c>
      <c r="D28" s="24">
        <f t="shared" si="1"/>
        <v>44726</v>
      </c>
      <c r="E28" s="24">
        <f t="shared" si="1"/>
        <v>36413</v>
      </c>
      <c r="F28" s="24">
        <f t="shared" si="1"/>
        <v>46594</v>
      </c>
      <c r="G28" s="24">
        <f t="shared" si="1"/>
        <v>44656</v>
      </c>
      <c r="H28" s="24">
        <f t="shared" si="1"/>
        <v>44305</v>
      </c>
      <c r="I28" s="24">
        <f t="shared" si="1"/>
        <v>47666</v>
      </c>
      <c r="J28" s="24">
        <f t="shared" si="1"/>
        <v>52180</v>
      </c>
      <c r="K28" s="24">
        <f t="shared" si="1"/>
        <v>57390</v>
      </c>
      <c r="L28" s="24">
        <f t="shared" si="1"/>
        <v>61747</v>
      </c>
      <c r="M28" s="24">
        <f t="shared" si="1"/>
        <v>67311</v>
      </c>
      <c r="N28" s="24">
        <f t="shared" si="1"/>
        <v>78481</v>
      </c>
    </row>
    <row r="29" ht="15.75" customHeight="1">
      <c r="B29" s="375"/>
      <c r="C29" s="24"/>
      <c r="D29" s="24"/>
      <c r="E29" s="24"/>
      <c r="F29" s="24"/>
      <c r="G29" s="24"/>
      <c r="H29" s="24"/>
      <c r="I29" s="24"/>
      <c r="J29" s="24"/>
      <c r="K29" s="24"/>
      <c r="L29" s="24"/>
      <c r="M29" s="24"/>
      <c r="N29" s="24"/>
    </row>
    <row r="30" ht="15.75" customHeight="1">
      <c r="B30" s="375" t="s">
        <v>57</v>
      </c>
      <c r="C30" s="377">
        <v>3389.0</v>
      </c>
      <c r="D30" s="377">
        <v>3323.0</v>
      </c>
      <c r="E30" s="377">
        <v>1345.0</v>
      </c>
      <c r="F30" s="377">
        <v>2178.0</v>
      </c>
      <c r="G30" s="377">
        <v>1653.0</v>
      </c>
      <c r="H30" s="377">
        <v>2576.0</v>
      </c>
      <c r="I30" s="377">
        <v>1612.0</v>
      </c>
      <c r="J30" s="377">
        <v>3270.0</v>
      </c>
      <c r="K30" s="377">
        <v>4635.0</v>
      </c>
      <c r="L30" s="377">
        <v>5376.0</v>
      </c>
      <c r="M30" s="377">
        <v>11561.0</v>
      </c>
      <c r="N30" s="377">
        <v>12679.0</v>
      </c>
    </row>
    <row r="31" ht="15.75" customHeight="1">
      <c r="B31" s="375" t="s">
        <v>58</v>
      </c>
      <c r="C31" s="377">
        <v>3019.0</v>
      </c>
      <c r="D31" s="377">
        <v>3445.0</v>
      </c>
      <c r="E31" s="377">
        <v>11785.0</v>
      </c>
      <c r="F31" s="377">
        <v>11873.0</v>
      </c>
      <c r="G31" s="377">
        <v>12429.0</v>
      </c>
      <c r="H31" s="377">
        <v>13542.0</v>
      </c>
      <c r="I31" s="377">
        <v>14535.0</v>
      </c>
      <c r="J31" s="377">
        <v>13149.0</v>
      </c>
      <c r="K31" s="377">
        <v>14160.0</v>
      </c>
      <c r="L31" s="377">
        <v>16670.0</v>
      </c>
      <c r="M31" s="377">
        <v>16316.0</v>
      </c>
      <c r="N31" s="377">
        <v>16316.0</v>
      </c>
    </row>
    <row r="32" ht="15.75" customHeight="1">
      <c r="B32" s="375"/>
      <c r="C32" s="24"/>
      <c r="D32" s="24"/>
      <c r="E32" s="24"/>
      <c r="F32" s="24"/>
      <c r="G32" s="24"/>
      <c r="H32" s="24"/>
      <c r="I32" s="24"/>
      <c r="J32" s="24"/>
      <c r="K32" s="24"/>
      <c r="L32" s="24"/>
      <c r="M32" s="24"/>
      <c r="N32" s="24"/>
    </row>
    <row r="33" ht="15.75" customHeight="1">
      <c r="B33" s="375" t="s">
        <v>59</v>
      </c>
      <c r="C33" s="24"/>
      <c r="D33" s="24"/>
      <c r="E33" s="24"/>
      <c r="F33" s="24"/>
      <c r="G33" s="24"/>
      <c r="H33" s="24"/>
      <c r="I33" s="24"/>
      <c r="J33" s="24"/>
      <c r="K33" s="24"/>
      <c r="L33" s="24"/>
      <c r="M33" s="24"/>
      <c r="N33" s="24"/>
    </row>
    <row r="34" ht="15.75" customHeight="1">
      <c r="B34" s="376" t="s">
        <v>60</v>
      </c>
      <c r="C34" s="377">
        <v>2073.0</v>
      </c>
      <c r="D34" s="377">
        <v>1844.0</v>
      </c>
      <c r="E34" s="377">
        <v>1373.0</v>
      </c>
      <c r="F34" s="377">
        <v>1600.0</v>
      </c>
      <c r="G34" s="377">
        <v>1623.0</v>
      </c>
      <c r="H34" s="377">
        <v>1706.0</v>
      </c>
      <c r="I34" s="377">
        <v>1752.0</v>
      </c>
      <c r="J34" s="377">
        <v>1886.0</v>
      </c>
      <c r="K34" s="377">
        <v>4232.0</v>
      </c>
      <c r="L34" s="377">
        <v>3943.0</v>
      </c>
      <c r="M34" s="377">
        <v>4420.0</v>
      </c>
      <c r="N34" s="377">
        <v>4572.0</v>
      </c>
      <c r="O34" s="47"/>
      <c r="P34" s="30"/>
      <c r="Q34" s="30"/>
      <c r="R34" s="30"/>
      <c r="S34" s="30"/>
      <c r="T34" s="30"/>
      <c r="U34" s="30"/>
      <c r="V34" s="30"/>
      <c r="W34" s="30"/>
      <c r="X34" s="30"/>
      <c r="Y34" s="30"/>
      <c r="Z34" s="30"/>
      <c r="AA34" s="30"/>
    </row>
    <row r="35" ht="15.75" customHeight="1">
      <c r="B35" s="376" t="s">
        <v>61</v>
      </c>
      <c r="C35" s="377">
        <v>4543.0</v>
      </c>
      <c r="D35" s="377">
        <v>5564.0</v>
      </c>
      <c r="E35" s="377">
        <v>3540.0</v>
      </c>
      <c r="F35" s="377">
        <v>3832.0</v>
      </c>
      <c r="G35" s="377">
        <v>2789.0</v>
      </c>
      <c r="H35" s="377">
        <v>4445.0</v>
      </c>
      <c r="I35" s="377">
        <v>4426.0</v>
      </c>
      <c r="J35" s="377">
        <v>5200.0</v>
      </c>
      <c r="K35" s="377">
        <v>5980.0</v>
      </c>
      <c r="L35" s="377">
        <v>6952.0</v>
      </c>
      <c r="M35" s="377">
        <v>7402.0</v>
      </c>
      <c r="N35" s="377">
        <v>5710.0</v>
      </c>
      <c r="O35" s="47"/>
      <c r="P35" s="30"/>
      <c r="Q35" s="30"/>
      <c r="R35" s="30"/>
      <c r="S35" s="30"/>
      <c r="T35" s="30"/>
      <c r="U35" s="30"/>
      <c r="V35" s="30"/>
      <c r="W35" s="30"/>
      <c r="X35" s="30"/>
      <c r="Y35" s="30"/>
      <c r="Z35" s="30"/>
      <c r="AA35" s="30"/>
    </row>
    <row r="36" ht="15.75" customHeight="1">
      <c r="B36" s="376" t="s">
        <v>62</v>
      </c>
      <c r="C36" s="377">
        <v>1555.0</v>
      </c>
      <c r="D36" s="377">
        <v>1483.0</v>
      </c>
      <c r="E36" s="378">
        <v>663.0</v>
      </c>
      <c r="F36" s="378">
        <v>954.0</v>
      </c>
      <c r="G36" s="377">
        <v>1186.0</v>
      </c>
      <c r="H36" s="378">
        <v>787.0</v>
      </c>
      <c r="I36" s="377">
        <v>2094.0</v>
      </c>
      <c r="J36" s="377">
        <v>5871.0</v>
      </c>
      <c r="K36" s="377">
        <v>6641.0</v>
      </c>
      <c r="L36" s="377">
        <v>11207.0</v>
      </c>
      <c r="M36" s="377">
        <v>9152.0</v>
      </c>
      <c r="N36" s="377">
        <v>11751.0</v>
      </c>
      <c r="O36" s="47"/>
      <c r="P36" s="30"/>
      <c r="Q36" s="30"/>
      <c r="R36" s="47"/>
      <c r="S36" s="47"/>
      <c r="T36" s="30"/>
      <c r="U36" s="47"/>
      <c r="V36" s="30"/>
      <c r="W36" s="30"/>
      <c r="X36" s="30"/>
      <c r="Y36" s="30"/>
      <c r="Z36" s="30"/>
      <c r="AA36" s="30"/>
    </row>
    <row r="37" ht="15.75" customHeight="1">
      <c r="B37" s="376" t="s">
        <v>63</v>
      </c>
      <c r="C37" s="378">
        <v>579.0</v>
      </c>
      <c r="D37" s="378">
        <v>400.0</v>
      </c>
      <c r="E37" s="378">
        <v>291.0</v>
      </c>
      <c r="F37" s="378">
        <v>395.0</v>
      </c>
      <c r="G37" s="378">
        <v>490.0</v>
      </c>
      <c r="H37" s="378">
        <v>503.0</v>
      </c>
      <c r="I37" s="378">
        <v>552.0</v>
      </c>
      <c r="J37" s="378">
        <v>609.0</v>
      </c>
      <c r="K37" s="378">
        <v>887.0</v>
      </c>
      <c r="L37" s="377">
        <v>1079.0</v>
      </c>
      <c r="M37" s="377">
        <v>1134.0</v>
      </c>
      <c r="N37" s="378">
        <v>994.0</v>
      </c>
      <c r="O37" s="47"/>
      <c r="P37" s="47"/>
      <c r="Q37" s="47"/>
      <c r="R37" s="47"/>
      <c r="S37" s="47"/>
      <c r="T37" s="47"/>
      <c r="U37" s="47"/>
      <c r="V37" s="47"/>
      <c r="W37" s="47"/>
      <c r="X37" s="47"/>
      <c r="Y37" s="30"/>
      <c r="Z37" s="30"/>
      <c r="AA37" s="47"/>
    </row>
    <row r="38" ht="15.75" customHeight="1">
      <c r="B38" s="376" t="s">
        <v>64</v>
      </c>
      <c r="C38" s="377">
        <v>12832.0</v>
      </c>
      <c r="D38" s="377">
        <v>14400.0</v>
      </c>
      <c r="E38" s="377">
        <v>14644.0</v>
      </c>
      <c r="F38" s="377">
        <v>15402.0</v>
      </c>
      <c r="G38" s="377">
        <v>17066.0</v>
      </c>
      <c r="H38" s="377">
        <v>16209.0</v>
      </c>
      <c r="I38" s="377">
        <v>17037.0</v>
      </c>
      <c r="J38" s="377">
        <v>16491.0</v>
      </c>
      <c r="K38" s="377">
        <v>18627.0</v>
      </c>
      <c r="L38" s="377">
        <v>21123.0</v>
      </c>
      <c r="M38" s="377">
        <v>21861.0</v>
      </c>
      <c r="N38" s="377">
        <v>25797.0</v>
      </c>
      <c r="O38" s="47"/>
      <c r="P38" s="30"/>
      <c r="Q38" s="30"/>
      <c r="R38" s="30"/>
      <c r="S38" s="30"/>
      <c r="T38" s="30"/>
      <c r="U38" s="30"/>
      <c r="V38" s="30"/>
      <c r="W38" s="30"/>
      <c r="X38" s="30"/>
      <c r="Y38" s="30"/>
      <c r="Z38" s="30"/>
      <c r="AA38" s="30"/>
    </row>
    <row r="39" ht="15.75" customHeight="1">
      <c r="B39" s="376" t="s">
        <v>65</v>
      </c>
      <c r="C39" s="25">
        <f>C35</f>
        <v>4543</v>
      </c>
      <c r="D39" s="26">
        <f t="shared" ref="D39:N39" si="2">(D35+C35)/2</f>
        <v>5053.5</v>
      </c>
      <c r="E39" s="26">
        <f t="shared" si="2"/>
        <v>4552</v>
      </c>
      <c r="F39" s="26">
        <f t="shared" si="2"/>
        <v>3686</v>
      </c>
      <c r="G39" s="26">
        <f t="shared" si="2"/>
        <v>3310.5</v>
      </c>
      <c r="H39" s="26">
        <f t="shared" si="2"/>
        <v>3617</v>
      </c>
      <c r="I39" s="26">
        <f t="shared" si="2"/>
        <v>4435.5</v>
      </c>
      <c r="J39" s="26">
        <f t="shared" si="2"/>
        <v>4813</v>
      </c>
      <c r="K39" s="26">
        <f t="shared" si="2"/>
        <v>5590</v>
      </c>
      <c r="L39" s="26">
        <f t="shared" si="2"/>
        <v>6466</v>
      </c>
      <c r="M39" s="26">
        <f t="shared" si="2"/>
        <v>7177</v>
      </c>
      <c r="N39" s="26">
        <f t="shared" si="2"/>
        <v>6556</v>
      </c>
    </row>
    <row r="40" ht="15.75" customHeight="1">
      <c r="B40" s="376" t="s">
        <v>66</v>
      </c>
      <c r="C40" s="24">
        <v>30539.0</v>
      </c>
      <c r="D40" s="24">
        <v>33561.0</v>
      </c>
      <c r="E40" s="24">
        <v>34615.0</v>
      </c>
      <c r="F40" s="24">
        <v>40832.0</v>
      </c>
      <c r="G40" s="24">
        <v>36502.0</v>
      </c>
      <c r="H40" s="24">
        <v>38135.0</v>
      </c>
      <c r="I40" s="24">
        <v>37616.0</v>
      </c>
      <c r="J40" s="24">
        <v>44456.0</v>
      </c>
      <c r="K40" s="24">
        <v>47153.0</v>
      </c>
      <c r="L40" s="24">
        <v>48173.0</v>
      </c>
      <c r="M40" s="24">
        <v>50489.0</v>
      </c>
      <c r="N40" s="24">
        <v>52645.0</v>
      </c>
    </row>
    <row r="41" ht="15.75" customHeight="1">
      <c r="B41" s="379" t="s">
        <v>67</v>
      </c>
      <c r="C41" s="25">
        <f>C40</f>
        <v>30539</v>
      </c>
      <c r="D41" s="26">
        <f t="shared" ref="D41:N41" si="3">(D40+C40)/2</f>
        <v>32050</v>
      </c>
      <c r="E41" s="26">
        <f t="shared" si="3"/>
        <v>34088</v>
      </c>
      <c r="F41" s="26">
        <f t="shared" si="3"/>
        <v>37723.5</v>
      </c>
      <c r="G41" s="26">
        <f t="shared" si="3"/>
        <v>38667</v>
      </c>
      <c r="H41" s="26">
        <f t="shared" si="3"/>
        <v>37318.5</v>
      </c>
      <c r="I41" s="26">
        <f t="shared" si="3"/>
        <v>37875.5</v>
      </c>
      <c r="J41" s="26">
        <f t="shared" si="3"/>
        <v>41036</v>
      </c>
      <c r="K41" s="26">
        <f t="shared" si="3"/>
        <v>45804.5</v>
      </c>
      <c r="L41" s="26">
        <f t="shared" si="3"/>
        <v>47663</v>
      </c>
      <c r="M41" s="26">
        <f t="shared" si="3"/>
        <v>49331</v>
      </c>
      <c r="N41" s="26">
        <f t="shared" si="3"/>
        <v>51567</v>
      </c>
    </row>
    <row r="42" ht="15.75" customHeight="1">
      <c r="B42" s="380" t="s">
        <v>68</v>
      </c>
      <c r="C42" s="381">
        <f>C34</f>
        <v>2073</v>
      </c>
      <c r="D42" s="29">
        <f t="shared" ref="D42:N42" si="4">(D34+C34)/2</f>
        <v>1958.5</v>
      </c>
      <c r="E42" s="29">
        <f t="shared" si="4"/>
        <v>1608.5</v>
      </c>
      <c r="F42" s="29">
        <f t="shared" si="4"/>
        <v>1486.5</v>
      </c>
      <c r="G42" s="29">
        <f t="shared" si="4"/>
        <v>1611.5</v>
      </c>
      <c r="H42" s="29">
        <f t="shared" si="4"/>
        <v>1664.5</v>
      </c>
      <c r="I42" s="29">
        <f t="shared" si="4"/>
        <v>1729</v>
      </c>
      <c r="J42" s="29">
        <f t="shared" si="4"/>
        <v>1819</v>
      </c>
      <c r="K42" s="29">
        <f t="shared" si="4"/>
        <v>3059</v>
      </c>
      <c r="L42" s="29">
        <f t="shared" si="4"/>
        <v>4087.5</v>
      </c>
      <c r="M42" s="29">
        <f t="shared" si="4"/>
        <v>4181.5</v>
      </c>
      <c r="N42" s="29">
        <f t="shared" si="4"/>
        <v>4496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4"/>
    <col customWidth="1" min="2" max="2" width="23.67"/>
    <col customWidth="1" min="3" max="5" width="10.56"/>
    <col customWidth="1" min="6" max="6" width="12.0"/>
    <col customWidth="1" min="7" max="7" width="11.67"/>
    <col customWidth="1" min="8" max="8" width="12.0"/>
    <col customWidth="1" min="9" max="9" width="12.33"/>
    <col customWidth="1" min="10" max="10" width="12.11"/>
    <col customWidth="1" min="11" max="11" width="12.0"/>
    <col customWidth="1" min="12" max="12" width="10.56"/>
    <col customWidth="1" min="13" max="13" width="19.56"/>
    <col customWidth="1" min="14" max="20" width="10.56"/>
    <col customWidth="1" min="21" max="21" width="17.78"/>
    <col customWidth="1" min="22" max="27" width="10.56"/>
  </cols>
  <sheetData>
    <row r="1" ht="15.75" customHeight="1">
      <c r="A1" s="382" t="s">
        <v>531</v>
      </c>
      <c r="B1" s="383" t="s">
        <v>532</v>
      </c>
      <c r="C1" s="2"/>
      <c r="D1" s="2"/>
      <c r="E1" s="2"/>
      <c r="F1" s="2"/>
      <c r="G1" s="2"/>
      <c r="H1" s="2"/>
      <c r="I1" s="2"/>
      <c r="J1" s="2"/>
      <c r="K1" s="3"/>
      <c r="M1" s="384" t="s">
        <v>533</v>
      </c>
      <c r="N1" s="385">
        <v>-2226.0</v>
      </c>
      <c r="O1" s="385">
        <v>-3336.0</v>
      </c>
      <c r="P1" s="385">
        <v>-7268.0</v>
      </c>
      <c r="Q1" s="385">
        <v>-7656.0</v>
      </c>
      <c r="R1" s="385">
        <v>-13241.0</v>
      </c>
      <c r="S1" s="385">
        <v>-17273.0</v>
      </c>
    </row>
    <row r="2" ht="15.75" customHeight="1">
      <c r="M2" s="386" t="s">
        <v>534</v>
      </c>
      <c r="N2" s="387">
        <v>36.0</v>
      </c>
      <c r="O2" s="385">
        <v>1549.0</v>
      </c>
      <c r="P2" s="387">
        <v>35.0</v>
      </c>
      <c r="Q2" s="387">
        <v>50.0</v>
      </c>
      <c r="R2" s="387">
        <v>146.0</v>
      </c>
      <c r="S2" s="387">
        <v>235.0</v>
      </c>
    </row>
    <row r="3" ht="15.75" customHeight="1"/>
    <row r="4" ht="15.75" customHeight="1">
      <c r="B4" s="388" t="s">
        <v>535</v>
      </c>
      <c r="C4" s="389"/>
      <c r="D4" s="390"/>
      <c r="E4" s="391">
        <v>43525.0</v>
      </c>
      <c r="F4" s="392">
        <v>43891.0</v>
      </c>
      <c r="G4" s="392">
        <v>44256.0</v>
      </c>
      <c r="H4" s="392">
        <v>44621.0</v>
      </c>
      <c r="I4" s="392">
        <v>44986.0</v>
      </c>
      <c r="J4" s="392">
        <v>45352.0</v>
      </c>
      <c r="K4" s="393">
        <v>45717.0</v>
      </c>
      <c r="L4" s="19"/>
      <c r="M4" s="18"/>
      <c r="N4" s="18"/>
      <c r="O4" s="19"/>
      <c r="P4" s="19"/>
      <c r="Q4" s="19"/>
      <c r="R4" s="19"/>
      <c r="S4" s="19"/>
      <c r="T4" s="19"/>
      <c r="U4" s="19"/>
    </row>
    <row r="5" ht="15.75" customHeight="1">
      <c r="L5" s="19"/>
      <c r="M5" s="19"/>
      <c r="N5" s="19"/>
      <c r="O5" s="19"/>
      <c r="P5" s="19"/>
      <c r="Q5" s="19"/>
      <c r="R5" s="19"/>
      <c r="S5" s="19"/>
      <c r="T5" s="19"/>
      <c r="U5" s="19"/>
    </row>
    <row r="6" ht="15.75" customHeight="1">
      <c r="B6" s="394" t="s">
        <v>536</v>
      </c>
      <c r="C6" s="395"/>
      <c r="D6" s="395"/>
      <c r="E6" s="249"/>
      <c r="F6" s="249"/>
      <c r="G6" s="249"/>
      <c r="H6" s="249"/>
      <c r="I6" s="249"/>
      <c r="J6" s="249"/>
      <c r="K6" s="249"/>
      <c r="L6" s="19"/>
      <c r="M6" s="19"/>
      <c r="N6" s="19"/>
      <c r="O6" s="19"/>
      <c r="P6" s="19"/>
      <c r="Q6" s="19"/>
      <c r="R6" s="19"/>
      <c r="S6" s="19"/>
      <c r="T6" s="19"/>
      <c r="U6" s="19"/>
    </row>
    <row r="7" ht="15.75" customHeight="1">
      <c r="B7" s="376" t="s">
        <v>60</v>
      </c>
      <c r="C7" s="116"/>
      <c r="D7" s="116"/>
      <c r="E7" s="396">
        <f>'Data_sheet for growth'!H34</f>
        <v>1706</v>
      </c>
      <c r="F7" s="396">
        <f>'Data_sheet for growth'!I34</f>
        <v>1752</v>
      </c>
      <c r="G7" s="396">
        <f>'Data_sheet for growth'!J34</f>
        <v>1886</v>
      </c>
      <c r="H7" s="396">
        <f>'Data_sheet for growth'!K34</f>
        <v>4232</v>
      </c>
      <c r="I7" s="396">
        <f>'Data_sheet for growth'!L34</f>
        <v>3943</v>
      </c>
      <c r="J7" s="396">
        <f>'Data_sheet for growth'!M34</f>
        <v>4420</v>
      </c>
      <c r="K7" s="396">
        <f>'Data_sheet for growth'!N34</f>
        <v>4572</v>
      </c>
      <c r="L7" s="19"/>
      <c r="M7" s="19"/>
      <c r="N7" s="19"/>
      <c r="O7" s="19"/>
      <c r="P7" s="19"/>
      <c r="Q7" s="19"/>
      <c r="R7" s="19"/>
      <c r="S7" s="19"/>
      <c r="T7" s="19"/>
      <c r="U7" s="19"/>
    </row>
    <row r="8" ht="15.75" customHeight="1">
      <c r="B8" s="376" t="s">
        <v>61</v>
      </c>
      <c r="C8" s="116"/>
      <c r="D8" s="116"/>
      <c r="E8" s="396">
        <f>'Data_sheet for growth'!H35</f>
        <v>4445</v>
      </c>
      <c r="F8" s="396">
        <f>'Data_sheet for growth'!I35</f>
        <v>4426</v>
      </c>
      <c r="G8" s="396">
        <f>'Data_sheet for growth'!J35</f>
        <v>5200</v>
      </c>
      <c r="H8" s="396">
        <f>'Data_sheet for growth'!K35</f>
        <v>5980</v>
      </c>
      <c r="I8" s="396">
        <f>'Data_sheet for growth'!L35</f>
        <v>6952</v>
      </c>
      <c r="J8" s="396">
        <f>'Data_sheet for growth'!M35</f>
        <v>7402</v>
      </c>
      <c r="K8" s="396">
        <f>'Data_sheet for growth'!N35</f>
        <v>5710</v>
      </c>
      <c r="L8" s="19"/>
      <c r="M8" s="19"/>
      <c r="N8" s="19"/>
      <c r="O8" s="19"/>
      <c r="P8" s="19"/>
      <c r="Q8" s="19"/>
      <c r="R8" s="19"/>
      <c r="S8" s="19"/>
      <c r="T8" s="19"/>
      <c r="U8" s="19"/>
    </row>
    <row r="9" ht="15.75" customHeight="1">
      <c r="B9" s="376" t="s">
        <v>63</v>
      </c>
      <c r="C9" s="116"/>
      <c r="D9" s="116"/>
      <c r="E9" s="249">
        <f>'Data_sheet for growth'!H37</f>
        <v>503</v>
      </c>
      <c r="F9" s="249">
        <f>'Data_sheet for growth'!I37</f>
        <v>552</v>
      </c>
      <c r="G9" s="249">
        <f>'Data_sheet for growth'!J37</f>
        <v>609</v>
      </c>
      <c r="H9" s="249">
        <f>'Data_sheet for growth'!K37</f>
        <v>887</v>
      </c>
      <c r="I9" s="396">
        <f>'Data_sheet for growth'!L37</f>
        <v>1079</v>
      </c>
      <c r="J9" s="396">
        <f>'Data_sheet for growth'!M37</f>
        <v>1134</v>
      </c>
      <c r="K9" s="249">
        <f>'Data_sheet for growth'!N37</f>
        <v>994</v>
      </c>
      <c r="L9" s="19"/>
      <c r="M9" s="19"/>
      <c r="N9" s="19"/>
      <c r="O9" s="19"/>
      <c r="P9" s="19"/>
      <c r="Q9" s="19"/>
      <c r="R9" s="19"/>
      <c r="S9" s="19"/>
      <c r="T9" s="19"/>
      <c r="U9" s="19"/>
    </row>
    <row r="10" ht="15.75" customHeight="1">
      <c r="B10" s="376" t="s">
        <v>64</v>
      </c>
      <c r="C10" s="116"/>
      <c r="D10" s="116"/>
      <c r="E10" s="396">
        <f>'Data_sheet for growth'!H38</f>
        <v>16209</v>
      </c>
      <c r="F10" s="396">
        <f>'Data_sheet for growth'!I38</f>
        <v>17037</v>
      </c>
      <c r="G10" s="396">
        <f>'Data_sheet for growth'!J38</f>
        <v>16491</v>
      </c>
      <c r="H10" s="396">
        <f>'Data_sheet for growth'!K38</f>
        <v>18627</v>
      </c>
      <c r="I10" s="396">
        <f>'Data_sheet for growth'!L38</f>
        <v>21123</v>
      </c>
      <c r="J10" s="396">
        <f>'Data_sheet for growth'!M38</f>
        <v>21861</v>
      </c>
      <c r="K10" s="396">
        <f>'Data_sheet for growth'!N38</f>
        <v>25797</v>
      </c>
      <c r="L10" s="19"/>
      <c r="M10" s="19"/>
      <c r="N10" s="19"/>
      <c r="O10" s="19"/>
      <c r="P10" s="19"/>
      <c r="Q10" s="19"/>
      <c r="R10" s="19"/>
      <c r="S10" s="19"/>
      <c r="T10" s="19"/>
      <c r="U10" s="19"/>
    </row>
    <row r="11" ht="15.75" customHeight="1">
      <c r="B11" s="375" t="s">
        <v>537</v>
      </c>
      <c r="C11" s="397"/>
      <c r="D11" s="397"/>
      <c r="E11" s="398">
        <f t="shared" ref="E11:K11" si="1">SUM(E7:E10)</f>
        <v>22863</v>
      </c>
      <c r="F11" s="398">
        <f t="shared" si="1"/>
        <v>23767</v>
      </c>
      <c r="G11" s="398">
        <f t="shared" si="1"/>
        <v>24186</v>
      </c>
      <c r="H11" s="398">
        <f t="shared" si="1"/>
        <v>29726</v>
      </c>
      <c r="I11" s="398">
        <f t="shared" si="1"/>
        <v>33097</v>
      </c>
      <c r="J11" s="398">
        <f t="shared" si="1"/>
        <v>34817</v>
      </c>
      <c r="K11" s="398">
        <f t="shared" si="1"/>
        <v>37073</v>
      </c>
      <c r="L11" s="19"/>
      <c r="M11" s="19"/>
      <c r="N11" s="19"/>
      <c r="O11" s="19"/>
      <c r="P11" s="19"/>
      <c r="Q11" s="19"/>
      <c r="R11" s="19"/>
      <c r="S11" s="19"/>
      <c r="T11" s="19"/>
      <c r="U11" s="19"/>
    </row>
    <row r="12" ht="15.75" customHeight="1">
      <c r="L12" s="19"/>
      <c r="M12" s="19"/>
      <c r="N12" s="19"/>
      <c r="O12" s="19"/>
      <c r="P12" s="19"/>
      <c r="Q12" s="19"/>
      <c r="R12" s="19"/>
      <c r="S12" s="19"/>
      <c r="T12" s="19"/>
      <c r="U12" s="19"/>
    </row>
    <row r="13" ht="15.75" customHeight="1">
      <c r="L13" s="19"/>
      <c r="M13" s="19"/>
      <c r="N13" s="19"/>
      <c r="O13" s="19"/>
      <c r="P13" s="19"/>
      <c r="Q13" s="19"/>
      <c r="R13" s="19"/>
      <c r="S13" s="19"/>
      <c r="T13" s="19"/>
      <c r="U13" s="19"/>
    </row>
    <row r="14" ht="15.75" customHeight="1">
      <c r="B14" s="394" t="s">
        <v>538</v>
      </c>
      <c r="C14" s="399"/>
      <c r="D14" s="400"/>
      <c r="E14" s="249"/>
      <c r="F14" s="249"/>
      <c r="G14" s="249"/>
      <c r="H14" s="249"/>
      <c r="I14" s="249"/>
      <c r="J14" s="249"/>
      <c r="K14" s="249"/>
      <c r="L14" s="19"/>
      <c r="M14" s="19"/>
      <c r="N14" s="19"/>
      <c r="O14" s="19"/>
      <c r="P14" s="19"/>
      <c r="Q14" s="19"/>
      <c r="R14" s="19"/>
      <c r="S14" s="19"/>
      <c r="T14" s="19"/>
      <c r="U14" s="19"/>
    </row>
    <row r="15" ht="15.75" customHeight="1">
      <c r="B15" s="376" t="s">
        <v>41</v>
      </c>
      <c r="C15" s="401"/>
      <c r="D15" s="402"/>
      <c r="E15" s="403">
        <f>'Data_sheet for growth'!H11</f>
        <v>5481</v>
      </c>
      <c r="F15" s="403">
        <f>'Data_sheet for growth'!I11</f>
        <v>5095</v>
      </c>
      <c r="G15" s="403">
        <f>'Data_sheet for growth'!J11</f>
        <v>7146</v>
      </c>
      <c r="H15" s="403">
        <f>'Data_sheet for growth'!K11</f>
        <v>10460</v>
      </c>
      <c r="I15" s="403">
        <f>'Data_sheet for growth'!L11</f>
        <v>7407</v>
      </c>
      <c r="J15" s="403">
        <f>'Data_sheet for growth'!M11</f>
        <v>14093</v>
      </c>
      <c r="K15" s="403">
        <f>'Data_sheet for growth'!N11</f>
        <v>13984</v>
      </c>
      <c r="L15" s="19"/>
      <c r="M15" s="19"/>
      <c r="N15" s="19"/>
      <c r="O15" s="19"/>
      <c r="P15" s="19"/>
      <c r="Q15" s="19"/>
      <c r="R15" s="19"/>
      <c r="S15" s="19"/>
      <c r="T15" s="19"/>
      <c r="U15" s="19"/>
    </row>
    <row r="16" ht="15.75" customHeight="1">
      <c r="B16" s="404" t="s">
        <v>42</v>
      </c>
      <c r="C16" s="401"/>
      <c r="D16" s="402"/>
      <c r="E16" s="405">
        <f>'Data_sheet for growth'!H12</f>
        <v>485</v>
      </c>
      <c r="F16" s="405">
        <f>'Data_sheet for growth'!I12</f>
        <v>782</v>
      </c>
      <c r="G16" s="403">
        <f>'Data_sheet for growth'!J12</f>
        <v>1209</v>
      </c>
      <c r="H16" s="403">
        <f>'Data_sheet for growth'!K12</f>
        <v>1180</v>
      </c>
      <c r="I16" s="403">
        <f>'Data_sheet for growth'!L12</f>
        <v>2458</v>
      </c>
      <c r="J16" s="403">
        <f>'Data_sheet for growth'!M12</f>
        <v>2197</v>
      </c>
      <c r="K16" s="403">
        <f>'Data_sheet for growth'!N12</f>
        <v>1579</v>
      </c>
      <c r="L16" s="19"/>
      <c r="M16" s="19"/>
      <c r="N16" s="19"/>
      <c r="O16" s="19"/>
      <c r="P16" s="19"/>
      <c r="Q16" s="19"/>
      <c r="R16" s="19"/>
      <c r="S16" s="19"/>
      <c r="T16" s="19"/>
      <c r="U16" s="19"/>
    </row>
    <row r="17" ht="15.75" customHeight="1">
      <c r="B17" s="376" t="s">
        <v>43</v>
      </c>
      <c r="C17" s="401"/>
      <c r="D17" s="402"/>
      <c r="E17" s="403">
        <f>'Data_sheet for growth'!H13</f>
        <v>9129</v>
      </c>
      <c r="F17" s="403">
        <f>'Data_sheet for growth'!I13</f>
        <v>9962</v>
      </c>
      <c r="G17" s="403">
        <f>'Data_sheet for growth'!J13</f>
        <v>18342</v>
      </c>
      <c r="H17" s="403">
        <f>'Data_sheet for growth'!K13</f>
        <v>23687</v>
      </c>
      <c r="I17" s="403">
        <f>'Data_sheet for growth'!L13</f>
        <v>31104</v>
      </c>
      <c r="J17" s="403">
        <f>'Data_sheet for growth'!M13</f>
        <v>30742</v>
      </c>
      <c r="K17" s="403">
        <f>'Data_sheet for growth'!N13</f>
        <v>35158</v>
      </c>
      <c r="L17" s="19"/>
      <c r="M17" s="19"/>
      <c r="N17" s="19"/>
      <c r="O17" s="19"/>
      <c r="P17" s="19"/>
      <c r="Q17" s="19"/>
      <c r="R17" s="19"/>
      <c r="S17" s="19"/>
      <c r="T17" s="19"/>
      <c r="U17" s="19"/>
    </row>
    <row r="18" ht="15.75" customHeight="1">
      <c r="B18" s="406" t="s">
        <v>539</v>
      </c>
      <c r="C18" s="407"/>
      <c r="D18" s="408"/>
      <c r="E18" s="398">
        <f t="shared" ref="E18:K18" si="2">SUM(E15:E17)</f>
        <v>15095</v>
      </c>
      <c r="F18" s="398">
        <f t="shared" si="2"/>
        <v>15839</v>
      </c>
      <c r="G18" s="398">
        <f t="shared" si="2"/>
        <v>26697</v>
      </c>
      <c r="H18" s="398">
        <f t="shared" si="2"/>
        <v>35327</v>
      </c>
      <c r="I18" s="398">
        <f t="shared" si="2"/>
        <v>40969</v>
      </c>
      <c r="J18" s="398">
        <f t="shared" si="2"/>
        <v>47032</v>
      </c>
      <c r="K18" s="398">
        <f t="shared" si="2"/>
        <v>50721</v>
      </c>
      <c r="L18" s="19"/>
      <c r="M18" s="19"/>
      <c r="N18" s="19"/>
      <c r="O18" s="19"/>
      <c r="P18" s="19"/>
      <c r="Q18" s="19"/>
      <c r="R18" s="19"/>
      <c r="S18" s="19"/>
      <c r="T18" s="19"/>
      <c r="U18" s="19"/>
    </row>
    <row r="19" ht="15.75" customHeight="1">
      <c r="B19" s="230"/>
      <c r="C19" s="230"/>
      <c r="D19" s="230"/>
      <c r="E19" s="230"/>
      <c r="F19" s="230"/>
      <c r="G19" s="230"/>
      <c r="H19" s="230"/>
      <c r="I19" s="230"/>
      <c r="J19" s="230"/>
      <c r="K19" s="230"/>
      <c r="L19" s="19"/>
      <c r="M19" s="19"/>
      <c r="N19" s="19"/>
      <c r="O19" s="19"/>
      <c r="P19" s="19"/>
      <c r="Q19" s="19"/>
      <c r="R19" s="19"/>
      <c r="S19" s="19"/>
      <c r="T19" s="19"/>
      <c r="U19" s="19"/>
    </row>
    <row r="20" ht="15.75" customHeight="1">
      <c r="B20" s="409" t="s">
        <v>540</v>
      </c>
      <c r="C20" s="409"/>
      <c r="D20" s="409"/>
      <c r="E20" s="410">
        <f t="shared" ref="E20:K20" si="3">E11-E18</f>
        <v>7768</v>
      </c>
      <c r="F20" s="410">
        <f t="shared" si="3"/>
        <v>7928</v>
      </c>
      <c r="G20" s="410">
        <f t="shared" si="3"/>
        <v>-2511</v>
      </c>
      <c r="H20" s="410">
        <f t="shared" si="3"/>
        <v>-5601</v>
      </c>
      <c r="I20" s="410">
        <f t="shared" si="3"/>
        <v>-7872</v>
      </c>
      <c r="J20" s="410">
        <f t="shared" si="3"/>
        <v>-12215</v>
      </c>
      <c r="K20" s="410">
        <f t="shared" si="3"/>
        <v>-13648</v>
      </c>
      <c r="L20" s="19"/>
      <c r="M20" s="19"/>
      <c r="N20" s="19"/>
      <c r="O20" s="19"/>
      <c r="P20" s="19"/>
      <c r="Q20" s="19"/>
      <c r="R20" s="19"/>
      <c r="S20" s="19"/>
      <c r="T20" s="19"/>
      <c r="U20" s="19"/>
    </row>
    <row r="21" ht="15.75" customHeight="1">
      <c r="L21" s="19"/>
      <c r="M21" s="19"/>
      <c r="N21" s="19"/>
      <c r="O21" s="19"/>
      <c r="P21" s="19"/>
      <c r="Q21" s="19"/>
      <c r="R21" s="19"/>
      <c r="S21" s="19"/>
      <c r="T21" s="19"/>
      <c r="U21" s="19"/>
    </row>
    <row r="22" ht="15.75" customHeight="1">
      <c r="B22" s="411" t="s">
        <v>541</v>
      </c>
      <c r="C22" s="395"/>
      <c r="D22" s="412"/>
      <c r="E22" s="249"/>
      <c r="F22" s="249"/>
      <c r="G22" s="249"/>
      <c r="H22" s="249"/>
      <c r="I22" s="249"/>
      <c r="J22" s="249"/>
      <c r="K22" s="249"/>
      <c r="L22" s="19"/>
      <c r="M22" s="19"/>
      <c r="N22" s="19"/>
      <c r="O22" s="19"/>
      <c r="P22" s="19"/>
      <c r="Q22" s="19"/>
      <c r="R22" s="19"/>
      <c r="S22" s="19"/>
      <c r="T22" s="19"/>
      <c r="U22" s="19"/>
    </row>
    <row r="23" ht="15.75" customHeight="1">
      <c r="B23" s="413" t="str">
        <f>'Data_sheet for growth'!B17</f>
        <v>Land</v>
      </c>
      <c r="C23" s="414"/>
      <c r="D23" s="415"/>
      <c r="E23" s="416">
        <f>'Data_sheet for growth'!H17</f>
        <v>1032</v>
      </c>
      <c r="F23" s="416">
        <f>'Data_sheet for growth'!I17</f>
        <v>2071</v>
      </c>
      <c r="G23" s="416">
        <f>'Data_sheet for growth'!J17</f>
        <v>2186</v>
      </c>
      <c r="H23" s="416">
        <f>'Data_sheet for growth'!K17</f>
        <v>2284</v>
      </c>
      <c r="I23" s="416">
        <f>'Data_sheet for growth'!L17</f>
        <v>2672</v>
      </c>
      <c r="J23" s="416">
        <f>'Data_sheet for growth'!M17</f>
        <v>3352</v>
      </c>
      <c r="K23" s="416">
        <f>'Data_sheet for growth'!N17</f>
        <v>4087</v>
      </c>
      <c r="L23" s="19"/>
      <c r="M23" s="19"/>
      <c r="N23" s="19"/>
      <c r="O23" s="19"/>
      <c r="P23" s="19"/>
      <c r="Q23" s="19"/>
      <c r="R23" s="19"/>
      <c r="S23" s="19"/>
      <c r="T23" s="19"/>
      <c r="U23" s="19"/>
    </row>
    <row r="24" ht="15.75" customHeight="1">
      <c r="B24" s="413" t="str">
        <f>'Data_sheet for growth'!B18</f>
        <v>Building</v>
      </c>
      <c r="C24" s="414"/>
      <c r="D24" s="415"/>
      <c r="E24" s="416">
        <f>'Data_sheet for growth'!H18</f>
        <v>2938</v>
      </c>
      <c r="F24" s="416">
        <f>'Data_sheet for growth'!I18</f>
        <v>3058</v>
      </c>
      <c r="G24" s="416">
        <f>'Data_sheet for growth'!J18</f>
        <v>3826</v>
      </c>
      <c r="H24" s="416">
        <f>'Data_sheet for growth'!K18</f>
        <v>4043</v>
      </c>
      <c r="I24" s="416">
        <f>'Data_sheet for growth'!L18</f>
        <v>4432</v>
      </c>
      <c r="J24" s="416">
        <f>'Data_sheet for growth'!M18</f>
        <v>4503</v>
      </c>
      <c r="K24" s="416">
        <f>'Data_sheet for growth'!N18</f>
        <v>5615</v>
      </c>
      <c r="L24" s="19"/>
      <c r="M24" s="19"/>
      <c r="N24" s="19"/>
      <c r="O24" s="19"/>
      <c r="P24" s="19"/>
      <c r="Q24" s="19"/>
      <c r="R24" s="19"/>
      <c r="S24" s="19"/>
      <c r="T24" s="19"/>
      <c r="U24" s="19"/>
    </row>
    <row r="25" ht="15.75" customHeight="1">
      <c r="B25" s="413" t="str">
        <f>'Data_sheet for growth'!B19</f>
        <v>Plant Machinery</v>
      </c>
      <c r="C25" s="414"/>
      <c r="D25" s="415"/>
      <c r="E25" s="416">
        <f>'Data_sheet for growth'!H19</f>
        <v>44924</v>
      </c>
      <c r="F25" s="416">
        <f>'Data_sheet for growth'!I19</f>
        <v>47425</v>
      </c>
      <c r="G25" s="416">
        <f>'Data_sheet for growth'!J19</f>
        <v>48607</v>
      </c>
      <c r="H25" s="416">
        <f>'Data_sheet for growth'!K19</f>
        <v>52664</v>
      </c>
      <c r="I25" s="416">
        <f>'Data_sheet for growth'!L19</f>
        <v>55799</v>
      </c>
      <c r="J25" s="416">
        <f>'Data_sheet for growth'!M19</f>
        <v>59919</v>
      </c>
      <c r="K25" s="416">
        <f>'Data_sheet for growth'!N19</f>
        <v>68397</v>
      </c>
      <c r="L25" s="19"/>
      <c r="M25" s="19"/>
      <c r="N25" s="19"/>
      <c r="O25" s="19"/>
      <c r="P25" s="19"/>
      <c r="Q25" s="19"/>
      <c r="R25" s="19"/>
      <c r="S25" s="19"/>
      <c r="T25" s="19"/>
      <c r="U25" s="19"/>
    </row>
    <row r="26" ht="15.75" customHeight="1">
      <c r="B26" s="413" t="str">
        <f>'Data_sheet for growth'!B20</f>
        <v>Equipments</v>
      </c>
      <c r="C26" s="414"/>
      <c r="D26" s="415"/>
      <c r="E26" s="416">
        <f>'Data_sheet for growth'!H20</f>
        <v>6364</v>
      </c>
      <c r="F26" s="416">
        <f>'Data_sheet for growth'!I20</f>
        <v>6967</v>
      </c>
      <c r="G26" s="416">
        <f>'Data_sheet for growth'!J20</f>
        <v>11790</v>
      </c>
      <c r="H26" s="416">
        <f>'Data_sheet for growth'!K20</f>
        <v>15200</v>
      </c>
      <c r="I26" s="416">
        <f>'Data_sheet for growth'!L20</f>
        <v>18485</v>
      </c>
      <c r="J26" s="416">
        <f>'Data_sheet for growth'!M20</f>
        <v>22097</v>
      </c>
      <c r="K26" s="416">
        <f>'Data_sheet for growth'!N20</f>
        <v>26523</v>
      </c>
      <c r="L26" s="19"/>
      <c r="M26" s="19"/>
      <c r="N26" s="19"/>
      <c r="O26" s="19"/>
      <c r="P26" s="19"/>
      <c r="Q26" s="19"/>
      <c r="R26" s="19"/>
      <c r="S26" s="19"/>
      <c r="T26" s="19"/>
      <c r="U26" s="19"/>
    </row>
    <row r="27" ht="15.75" customHeight="1">
      <c r="B27" s="413" t="str">
        <f>'Data_sheet for growth'!B21</f>
        <v>Furniture n fittings</v>
      </c>
      <c r="C27" s="414"/>
      <c r="D27" s="415"/>
      <c r="E27" s="416">
        <f>'Data_sheet for growth'!H21</f>
        <v>120</v>
      </c>
      <c r="F27" s="416">
        <f>'Data_sheet for growth'!I21</f>
        <v>118</v>
      </c>
      <c r="G27" s="416">
        <f>'Data_sheet for growth'!J21</f>
        <v>134</v>
      </c>
      <c r="H27" s="416">
        <f>'Data_sheet for growth'!K21</f>
        <v>144</v>
      </c>
      <c r="I27" s="416">
        <f>'Data_sheet for growth'!L21</f>
        <v>167</v>
      </c>
      <c r="J27" s="416">
        <f>'Data_sheet for growth'!M21</f>
        <v>187</v>
      </c>
      <c r="K27" s="416">
        <f>'Data_sheet for growth'!N21</f>
        <v>207</v>
      </c>
      <c r="L27" s="19"/>
      <c r="M27" s="19"/>
      <c r="N27" s="19"/>
      <c r="O27" s="19"/>
      <c r="P27" s="19"/>
      <c r="Q27" s="19"/>
      <c r="R27" s="19"/>
      <c r="S27" s="19"/>
      <c r="T27" s="19"/>
      <c r="U27" s="19"/>
    </row>
    <row r="28" ht="15.75" customHeight="1">
      <c r="B28" s="413" t="str">
        <f>'Data_sheet for growth'!B22</f>
        <v>Railway sidings</v>
      </c>
      <c r="C28" s="414"/>
      <c r="D28" s="415"/>
      <c r="E28" s="416">
        <f>'Data_sheet for growth'!H22</f>
        <v>103</v>
      </c>
      <c r="F28" s="416">
        <f>'Data_sheet for growth'!I22</f>
        <v>104</v>
      </c>
      <c r="G28" s="416">
        <f>'Data_sheet for growth'!J22</f>
        <v>0</v>
      </c>
      <c r="H28" s="416">
        <f>'Data_sheet for growth'!K22</f>
        <v>0</v>
      </c>
      <c r="I28" s="416">
        <f>'Data_sheet for growth'!L22</f>
        <v>0</v>
      </c>
      <c r="J28" s="416">
        <f>'Data_sheet for growth'!M22</f>
        <v>0</v>
      </c>
      <c r="K28" s="416">
        <f>'Data_sheet for growth'!N22</f>
        <v>0</v>
      </c>
      <c r="L28" s="19"/>
      <c r="M28" s="19"/>
      <c r="N28" s="19"/>
      <c r="O28" s="19"/>
      <c r="P28" s="19"/>
      <c r="Q28" s="19"/>
      <c r="R28" s="19"/>
      <c r="S28" s="19"/>
      <c r="T28" s="19"/>
      <c r="U28" s="19"/>
    </row>
    <row r="29" ht="15.75" customHeight="1">
      <c r="B29" s="413" t="str">
        <f>'Data_sheet for growth'!B23</f>
        <v>Vehicles</v>
      </c>
      <c r="C29" s="414"/>
      <c r="D29" s="415"/>
      <c r="E29" s="416">
        <f>'Data_sheet for growth'!H23</f>
        <v>245</v>
      </c>
      <c r="F29" s="416">
        <f>'Data_sheet for growth'!I23</f>
        <v>235</v>
      </c>
      <c r="G29" s="416">
        <f>'Data_sheet for growth'!J23</f>
        <v>228</v>
      </c>
      <c r="H29" s="416">
        <f>'Data_sheet for growth'!K23</f>
        <v>225</v>
      </c>
      <c r="I29" s="416">
        <f>'Data_sheet for growth'!L23</f>
        <v>247</v>
      </c>
      <c r="J29" s="416">
        <f>'Data_sheet for growth'!M23</f>
        <v>300</v>
      </c>
      <c r="K29" s="416">
        <f>'Data_sheet for growth'!N23</f>
        <v>327</v>
      </c>
      <c r="L29" s="19"/>
      <c r="M29" s="19"/>
      <c r="N29" s="19"/>
      <c r="O29" s="19"/>
      <c r="P29" s="19"/>
      <c r="Q29" s="19"/>
      <c r="R29" s="19"/>
      <c r="S29" s="19"/>
      <c r="T29" s="19"/>
      <c r="U29" s="19"/>
    </row>
    <row r="30" ht="15.75" customHeight="1">
      <c r="B30" s="413" t="str">
        <f>'Data_sheet for growth'!B24</f>
        <v>Intangible Assets</v>
      </c>
      <c r="C30" s="414"/>
      <c r="D30" s="415"/>
      <c r="E30" s="416">
        <f>'Data_sheet for growth'!H24</f>
        <v>1654</v>
      </c>
      <c r="F30" s="416">
        <f>'Data_sheet for growth'!I24</f>
        <v>1646</v>
      </c>
      <c r="G30" s="416">
        <f>'Data_sheet for growth'!J24</f>
        <v>1800</v>
      </c>
      <c r="H30" s="416">
        <f>'Data_sheet for growth'!K24</f>
        <v>1864</v>
      </c>
      <c r="I30" s="416">
        <f>'Data_sheet for growth'!L24</f>
        <v>1865</v>
      </c>
      <c r="J30" s="416">
        <f>'Data_sheet for growth'!M24</f>
        <v>1903</v>
      </c>
      <c r="K30" s="416">
        <f>'Data_sheet for growth'!N24</f>
        <v>1807</v>
      </c>
      <c r="L30" s="19"/>
      <c r="M30" s="19"/>
      <c r="N30" s="19"/>
      <c r="O30" s="19"/>
      <c r="P30" s="19"/>
      <c r="Q30" s="19"/>
      <c r="R30" s="19"/>
      <c r="S30" s="19"/>
      <c r="T30" s="19"/>
      <c r="U30" s="19"/>
    </row>
    <row r="31" ht="15.75" customHeight="1">
      <c r="B31" s="413" t="str">
        <f>'Data_sheet for growth'!B25</f>
        <v>Other fixed assets</v>
      </c>
      <c r="C31" s="414"/>
      <c r="D31" s="415"/>
      <c r="E31" s="416">
        <f>'Data_sheet for growth'!H25</f>
        <v>4233</v>
      </c>
      <c r="F31" s="416">
        <f>'Data_sheet for growth'!I25</f>
        <v>5441</v>
      </c>
      <c r="G31" s="416">
        <f>'Data_sheet for growth'!J25</f>
        <v>5584</v>
      </c>
      <c r="H31" s="416">
        <f>'Data_sheet for growth'!K25</f>
        <v>5876</v>
      </c>
      <c r="I31" s="416">
        <f>'Data_sheet for growth'!L25</f>
        <v>6229</v>
      </c>
      <c r="J31" s="416">
        <f>'Data_sheet for growth'!M25</f>
        <v>6519</v>
      </c>
      <c r="K31" s="416">
        <f>'Data_sheet for growth'!N25</f>
        <v>6722</v>
      </c>
      <c r="L31" s="19"/>
      <c r="M31" s="19"/>
      <c r="N31" s="19"/>
      <c r="O31" s="19"/>
      <c r="P31" s="19"/>
      <c r="Q31" s="19"/>
      <c r="R31" s="19"/>
      <c r="S31" s="19"/>
      <c r="T31" s="19"/>
      <c r="U31" s="19"/>
    </row>
    <row r="32" ht="15.75" customHeight="1">
      <c r="B32" s="417" t="s">
        <v>55</v>
      </c>
      <c r="C32" s="417"/>
      <c r="D32" s="417"/>
      <c r="E32" s="418">
        <f t="shared" ref="E32:K32" si="4">SUM(E23:E31)</f>
        <v>61613</v>
      </c>
      <c r="F32" s="418">
        <f t="shared" si="4"/>
        <v>67065</v>
      </c>
      <c r="G32" s="418">
        <f t="shared" si="4"/>
        <v>74155</v>
      </c>
      <c r="H32" s="418">
        <f t="shared" si="4"/>
        <v>82300</v>
      </c>
      <c r="I32" s="418">
        <f t="shared" si="4"/>
        <v>89896</v>
      </c>
      <c r="J32" s="418">
        <f t="shared" si="4"/>
        <v>98780</v>
      </c>
      <c r="K32" s="419">
        <f t="shared" si="4"/>
        <v>113685</v>
      </c>
      <c r="L32" s="19"/>
      <c r="M32" s="19"/>
      <c r="N32" s="19"/>
      <c r="O32" s="19"/>
      <c r="P32" s="19"/>
      <c r="Q32" s="19"/>
      <c r="R32" s="19"/>
      <c r="S32" s="19"/>
      <c r="T32" s="19"/>
      <c r="U32" s="19"/>
    </row>
    <row r="33" ht="15.75" customHeight="1">
      <c r="B33" s="420" t="s">
        <v>542</v>
      </c>
      <c r="C33" s="230"/>
      <c r="D33" s="230"/>
      <c r="E33" s="421">
        <f>'Data_sheet for growth'!H27</f>
        <v>17308</v>
      </c>
      <c r="F33" s="422">
        <f>'Data_sheet for growth'!I27</f>
        <v>19398</v>
      </c>
      <c r="G33" s="422">
        <f>'Data_sheet for growth'!J27</f>
        <v>21976</v>
      </c>
      <c r="H33" s="422">
        <f>'Data_sheet for growth'!K27</f>
        <v>24911</v>
      </c>
      <c r="I33" s="422">
        <f>'Data_sheet for growth'!L27</f>
        <v>28150</v>
      </c>
      <c r="J33" s="422">
        <f>'Data_sheet for growth'!M27</f>
        <v>31470</v>
      </c>
      <c r="K33" s="421">
        <f>'Data_sheet for growth'!N27</f>
        <v>35205</v>
      </c>
      <c r="L33" s="19"/>
      <c r="M33" s="19"/>
      <c r="N33" s="19"/>
      <c r="O33" s="19"/>
      <c r="P33" s="19"/>
      <c r="Q33" s="19"/>
      <c r="R33" s="19"/>
      <c r="S33" s="19"/>
      <c r="T33" s="19"/>
      <c r="U33" s="19"/>
    </row>
    <row r="34" ht="15.75" customHeight="1">
      <c r="B34" s="394" t="s">
        <v>543</v>
      </c>
      <c r="C34" s="423"/>
      <c r="D34" s="423"/>
      <c r="E34" s="424">
        <f t="shared" ref="E34:K34" si="5">E32-E33</f>
        <v>44305</v>
      </c>
      <c r="F34" s="424">
        <f t="shared" si="5"/>
        <v>47667</v>
      </c>
      <c r="G34" s="424">
        <f t="shared" si="5"/>
        <v>52179</v>
      </c>
      <c r="H34" s="424">
        <f t="shared" si="5"/>
        <v>57389</v>
      </c>
      <c r="I34" s="424">
        <f t="shared" si="5"/>
        <v>61746</v>
      </c>
      <c r="J34" s="424">
        <f t="shared" si="5"/>
        <v>67310</v>
      </c>
      <c r="K34" s="425">
        <f t="shared" si="5"/>
        <v>78480</v>
      </c>
      <c r="L34" s="19"/>
      <c r="M34" s="19"/>
      <c r="N34" s="19"/>
      <c r="O34" s="19"/>
      <c r="P34" s="19"/>
      <c r="Q34" s="19"/>
      <c r="R34" s="19"/>
      <c r="S34" s="19"/>
      <c r="T34" s="19"/>
      <c r="U34" s="19"/>
    </row>
    <row r="35" ht="15.75" customHeight="1">
      <c r="L35" s="19"/>
      <c r="M35" s="19"/>
      <c r="N35" s="19"/>
      <c r="O35" s="19"/>
      <c r="P35" s="19"/>
      <c r="Q35" s="19"/>
      <c r="R35" s="19"/>
      <c r="S35" s="19"/>
      <c r="T35" s="19"/>
      <c r="U35" s="19"/>
    </row>
    <row r="36" ht="15.75" customHeight="1">
      <c r="L36" s="19"/>
      <c r="M36" s="19"/>
      <c r="N36" s="19"/>
      <c r="O36" s="19"/>
      <c r="P36" s="19"/>
      <c r="Q36" s="19"/>
      <c r="R36" s="19"/>
      <c r="S36" s="19"/>
      <c r="T36" s="19"/>
      <c r="U36" s="19"/>
    </row>
    <row r="37" ht="15.75" customHeight="1">
      <c r="B37" s="394" t="s">
        <v>544</v>
      </c>
      <c r="C37" s="426"/>
      <c r="D37" s="8"/>
      <c r="E37" s="427">
        <f t="shared" ref="E37:K37" si="6">E34+E20</f>
        <v>52073</v>
      </c>
      <c r="F37" s="427">
        <f t="shared" si="6"/>
        <v>55595</v>
      </c>
      <c r="G37" s="427">
        <f t="shared" si="6"/>
        <v>49668</v>
      </c>
      <c r="H37" s="427">
        <f t="shared" si="6"/>
        <v>51788</v>
      </c>
      <c r="I37" s="427">
        <f t="shared" si="6"/>
        <v>53874</v>
      </c>
      <c r="J37" s="427">
        <f t="shared" si="6"/>
        <v>55095</v>
      </c>
      <c r="K37" s="427">
        <f t="shared" si="6"/>
        <v>64832</v>
      </c>
      <c r="L37" s="19"/>
      <c r="M37" s="19"/>
      <c r="N37" s="19"/>
      <c r="O37" s="19"/>
      <c r="P37" s="19"/>
      <c r="Q37" s="19"/>
      <c r="R37" s="19"/>
      <c r="S37" s="19"/>
      <c r="T37" s="19"/>
      <c r="U37" s="19"/>
    </row>
    <row r="38" ht="15.75" customHeight="1">
      <c r="B38" s="428" t="s">
        <v>545</v>
      </c>
      <c r="C38" s="11"/>
      <c r="D38" s="12"/>
      <c r="E38" s="416">
        <v>3693.0</v>
      </c>
      <c r="F38" s="416">
        <v>1958.0</v>
      </c>
      <c r="G38" s="416">
        <v>1941.0</v>
      </c>
      <c r="H38" s="416">
        <v>2535.0</v>
      </c>
      <c r="I38" s="416">
        <v>5457.0</v>
      </c>
      <c r="J38" s="416">
        <v>5732.0</v>
      </c>
      <c r="K38" s="416">
        <v>6320.0</v>
      </c>
      <c r="L38" s="429"/>
      <c r="N38" s="19"/>
      <c r="O38" s="19"/>
      <c r="P38" s="19"/>
      <c r="Q38" s="19"/>
      <c r="R38" s="19"/>
      <c r="S38" s="19"/>
      <c r="T38" s="19"/>
      <c r="U38" s="19"/>
    </row>
    <row r="39" ht="15.75" customHeight="1">
      <c r="B39" s="428" t="s">
        <v>80</v>
      </c>
      <c r="C39" s="11"/>
      <c r="D39" s="12"/>
      <c r="E39" s="416">
        <v>4170.0</v>
      </c>
      <c r="F39" s="416">
        <v>4494.0</v>
      </c>
      <c r="G39" s="416">
        <v>4010.0</v>
      </c>
      <c r="H39" s="416">
        <v>3859.0</v>
      </c>
      <c r="I39" s="416">
        <v>4372.0</v>
      </c>
      <c r="J39" s="416">
        <v>4633.0</v>
      </c>
      <c r="K39" s="416">
        <v>4702.0</v>
      </c>
      <c r="N39" s="19"/>
      <c r="O39" s="19"/>
      <c r="P39" s="19"/>
      <c r="Q39" s="19"/>
      <c r="R39" s="19"/>
      <c r="S39" s="19"/>
      <c r="T39" s="19"/>
      <c r="U39" s="19"/>
    </row>
    <row r="40" ht="15.75" customHeight="1">
      <c r="B40" s="394" t="s">
        <v>546</v>
      </c>
      <c r="C40" s="11"/>
      <c r="D40" s="12"/>
      <c r="E40" s="427">
        <f t="shared" ref="E40:K40" si="7">SUM(E38:E39)</f>
        <v>7863</v>
      </c>
      <c r="F40" s="430">
        <f t="shared" si="7"/>
        <v>6452</v>
      </c>
      <c r="G40" s="430">
        <f t="shared" si="7"/>
        <v>5951</v>
      </c>
      <c r="H40" s="430">
        <f t="shared" si="7"/>
        <v>6394</v>
      </c>
      <c r="I40" s="430">
        <f t="shared" si="7"/>
        <v>9829</v>
      </c>
      <c r="J40" s="430">
        <f t="shared" si="7"/>
        <v>10365</v>
      </c>
      <c r="K40" s="430">
        <f t="shared" si="7"/>
        <v>11022</v>
      </c>
      <c r="L40" s="19"/>
      <c r="M40" s="19"/>
      <c r="N40" s="19"/>
      <c r="O40" s="19"/>
      <c r="P40" s="19"/>
      <c r="Q40" s="19"/>
      <c r="R40" s="19"/>
      <c r="S40" s="19"/>
      <c r="T40" s="19"/>
      <c r="U40" s="19"/>
    </row>
    <row r="41" ht="15.75" customHeight="1">
      <c r="B41" s="318"/>
      <c r="C41" s="11"/>
      <c r="D41" s="12"/>
      <c r="E41" s="318"/>
      <c r="F41" s="318"/>
      <c r="G41" s="318"/>
      <c r="H41" s="318"/>
      <c r="I41" s="318"/>
      <c r="J41" s="318"/>
      <c r="K41" s="318"/>
      <c r="L41" s="19"/>
      <c r="M41" s="19"/>
      <c r="N41" s="19"/>
      <c r="O41" s="431"/>
      <c r="P41" s="18"/>
      <c r="Q41" s="18"/>
      <c r="R41" s="18"/>
      <c r="S41" s="18"/>
      <c r="T41" s="19"/>
      <c r="U41" s="19"/>
    </row>
    <row r="42" ht="15.75" customHeight="1">
      <c r="B42" s="394" t="s">
        <v>547</v>
      </c>
      <c r="C42" s="11"/>
      <c r="D42" s="12"/>
      <c r="E42" s="432">
        <f t="shared" ref="E42:K42" si="8">E40/E37</f>
        <v>0.1509995583</v>
      </c>
      <c r="F42" s="432">
        <f t="shared" si="8"/>
        <v>0.1160536019</v>
      </c>
      <c r="G42" s="432">
        <f t="shared" si="8"/>
        <v>0.1198155754</v>
      </c>
      <c r="H42" s="432">
        <f t="shared" si="8"/>
        <v>0.1234648953</v>
      </c>
      <c r="I42" s="432">
        <f t="shared" si="8"/>
        <v>0.1824442217</v>
      </c>
      <c r="J42" s="432">
        <f t="shared" si="8"/>
        <v>0.1881295943</v>
      </c>
      <c r="K42" s="432">
        <f t="shared" si="8"/>
        <v>0.1700086377</v>
      </c>
      <c r="L42" s="19"/>
      <c r="M42" s="19"/>
      <c r="N42" s="19"/>
      <c r="O42" s="48"/>
      <c r="P42" s="433"/>
      <c r="Q42" s="433"/>
      <c r="R42" s="433"/>
      <c r="S42" s="433"/>
      <c r="T42" s="433"/>
    </row>
    <row r="43" ht="15.75" customHeight="1">
      <c r="B43" s="318"/>
      <c r="C43" s="14"/>
      <c r="D43" s="16"/>
      <c r="E43" s="318"/>
      <c r="F43" s="318"/>
      <c r="G43" s="318"/>
      <c r="H43" s="318"/>
      <c r="I43" s="318"/>
      <c r="J43" s="318"/>
      <c r="K43" s="434">
        <f>AVERAGE(E42:K42)</f>
        <v>0.1501308693</v>
      </c>
      <c r="L43" s="19"/>
      <c r="M43" s="19"/>
      <c r="N43" s="19"/>
      <c r="O43" s="48"/>
      <c r="P43" s="48"/>
      <c r="Q43" s="48"/>
      <c r="R43" s="48"/>
      <c r="S43" s="48"/>
      <c r="T43" s="48"/>
    </row>
    <row r="44" ht="15.75" customHeight="1">
      <c r="K44" s="435"/>
      <c r="L44" s="19"/>
      <c r="M44" s="19"/>
      <c r="N44" s="19"/>
      <c r="O44" s="48"/>
      <c r="P44" s="48"/>
      <c r="Q44" s="48"/>
      <c r="R44" s="48"/>
      <c r="S44" s="48"/>
      <c r="T44" s="48"/>
      <c r="U44" s="48"/>
      <c r="V44" s="47"/>
      <c r="W44" s="30"/>
      <c r="X44" s="47"/>
      <c r="Y44" s="47"/>
      <c r="Z44" s="47"/>
      <c r="AA44" s="47"/>
    </row>
    <row r="45" ht="15.75" customHeight="1">
      <c r="B45" s="436" t="s">
        <v>548</v>
      </c>
      <c r="C45" s="3"/>
      <c r="D45" s="437"/>
      <c r="E45" s="438">
        <v>43525.0</v>
      </c>
      <c r="F45" s="438">
        <v>43891.0</v>
      </c>
      <c r="G45" s="438">
        <v>44256.0</v>
      </c>
      <c r="H45" s="438">
        <v>44621.0</v>
      </c>
      <c r="I45" s="438">
        <v>44986.0</v>
      </c>
      <c r="J45" s="438">
        <v>45352.0</v>
      </c>
      <c r="K45" s="438">
        <v>45717.0</v>
      </c>
      <c r="L45" s="19"/>
      <c r="M45" s="19"/>
      <c r="N45" s="19"/>
      <c r="O45" s="19"/>
      <c r="P45" s="19"/>
      <c r="Q45" s="19"/>
      <c r="R45" s="19"/>
      <c r="S45" s="19"/>
      <c r="T45" s="19"/>
      <c r="U45" s="19"/>
    </row>
    <row r="46" ht="15.75" customHeight="1">
      <c r="B46" s="318"/>
      <c r="C46" s="6"/>
      <c r="D46" s="8"/>
      <c r="E46" s="318"/>
      <c r="F46" s="318"/>
      <c r="G46" s="318"/>
      <c r="H46" s="318"/>
      <c r="I46" s="318"/>
      <c r="J46" s="318"/>
      <c r="K46" s="318"/>
      <c r="L46" s="19"/>
      <c r="M46" s="19"/>
      <c r="N46" s="19"/>
      <c r="O46" s="19"/>
      <c r="P46" s="19"/>
      <c r="Q46" s="19"/>
      <c r="R46" s="19"/>
      <c r="S46" s="19"/>
      <c r="T46" s="19"/>
      <c r="U46" s="19"/>
    </row>
    <row r="47" ht="15.75" customHeight="1">
      <c r="B47" s="318" t="s">
        <v>549</v>
      </c>
      <c r="C47" s="11"/>
      <c r="D47" s="12"/>
      <c r="E47" s="396">
        <f t="shared" ref="E47:K47" si="9">-SUM(M1:M2)</f>
        <v>0</v>
      </c>
      <c r="F47" s="396">
        <f t="shared" si="9"/>
        <v>2190</v>
      </c>
      <c r="G47" s="396">
        <f t="shared" si="9"/>
        <v>1787</v>
      </c>
      <c r="H47" s="396">
        <f t="shared" si="9"/>
        <v>7233</v>
      </c>
      <c r="I47" s="396">
        <f t="shared" si="9"/>
        <v>7606</v>
      </c>
      <c r="J47" s="396">
        <f t="shared" si="9"/>
        <v>13095</v>
      </c>
      <c r="K47" s="396">
        <f t="shared" si="9"/>
        <v>17038</v>
      </c>
      <c r="L47" s="429"/>
      <c r="N47" s="19"/>
      <c r="O47" s="19"/>
      <c r="P47" s="19"/>
      <c r="Q47" s="19"/>
      <c r="R47" s="19"/>
      <c r="S47" s="19"/>
      <c r="T47" s="19"/>
      <c r="U47" s="19"/>
    </row>
    <row r="48" ht="15.75" customHeight="1">
      <c r="B48" s="318" t="s">
        <v>550</v>
      </c>
      <c r="C48" s="11"/>
      <c r="D48" s="12"/>
      <c r="E48" s="318"/>
      <c r="F48" s="396">
        <f t="shared" ref="F48:K48" si="10">F20-E20</f>
        <v>160</v>
      </c>
      <c r="G48" s="396">
        <f t="shared" si="10"/>
        <v>-10439</v>
      </c>
      <c r="H48" s="396">
        <f t="shared" si="10"/>
        <v>-3090</v>
      </c>
      <c r="I48" s="396">
        <f t="shared" si="10"/>
        <v>-2271</v>
      </c>
      <c r="J48" s="396">
        <f t="shared" si="10"/>
        <v>-4343</v>
      </c>
      <c r="K48" s="396">
        <f t="shared" si="10"/>
        <v>-1433</v>
      </c>
      <c r="L48" s="19"/>
      <c r="M48" s="19"/>
      <c r="N48" s="19"/>
      <c r="O48" s="19"/>
      <c r="P48" s="19"/>
      <c r="Q48" s="19"/>
      <c r="R48" s="19"/>
      <c r="S48" s="19"/>
      <c r="T48" s="19"/>
      <c r="U48" s="19"/>
    </row>
    <row r="49" ht="15.75" customHeight="1">
      <c r="B49" s="439"/>
      <c r="C49" s="11"/>
      <c r="D49" s="12"/>
      <c r="E49" s="318"/>
      <c r="F49" s="396"/>
      <c r="G49" s="396"/>
      <c r="H49" s="396"/>
      <c r="I49" s="396"/>
      <c r="J49" s="396"/>
      <c r="K49" s="396"/>
      <c r="L49" s="19"/>
      <c r="M49" s="19"/>
      <c r="N49" s="19"/>
      <c r="O49" s="19"/>
      <c r="P49" s="19"/>
      <c r="Q49" s="19"/>
      <c r="R49" s="19"/>
      <c r="S49" s="19"/>
      <c r="T49" s="19"/>
      <c r="U49" s="19"/>
    </row>
    <row r="50" ht="15.75" customHeight="1">
      <c r="B50" s="318" t="s">
        <v>546</v>
      </c>
      <c r="C50" s="11"/>
      <c r="D50" s="12"/>
      <c r="E50" s="396">
        <f t="shared" ref="E50:K50" si="11">E40</f>
        <v>7863</v>
      </c>
      <c r="F50" s="440">
        <f t="shared" si="11"/>
        <v>6452</v>
      </c>
      <c r="G50" s="440">
        <f t="shared" si="11"/>
        <v>5951</v>
      </c>
      <c r="H50" s="440">
        <f t="shared" si="11"/>
        <v>6394</v>
      </c>
      <c r="I50" s="440">
        <f t="shared" si="11"/>
        <v>9829</v>
      </c>
      <c r="J50" s="440">
        <f t="shared" si="11"/>
        <v>10365</v>
      </c>
      <c r="K50" s="440">
        <f t="shared" si="11"/>
        <v>11022</v>
      </c>
      <c r="L50" s="19"/>
      <c r="M50" s="19"/>
      <c r="N50" s="19"/>
      <c r="O50" s="19"/>
      <c r="P50" s="19"/>
      <c r="Q50" s="19"/>
      <c r="R50" s="19"/>
      <c r="S50" s="19"/>
      <c r="T50" s="19"/>
      <c r="U50" s="19"/>
    </row>
    <row r="51" ht="15.75" customHeight="1">
      <c r="B51" s="318" t="s">
        <v>551</v>
      </c>
      <c r="C51" s="11"/>
      <c r="D51" s="12"/>
      <c r="E51" s="441">
        <v>0.25</v>
      </c>
      <c r="F51" s="441">
        <v>0.25</v>
      </c>
      <c r="G51" s="441">
        <v>0.25</v>
      </c>
      <c r="H51" s="441">
        <v>0.25</v>
      </c>
      <c r="I51" s="441">
        <v>0.25</v>
      </c>
      <c r="J51" s="441">
        <v>0.25</v>
      </c>
      <c r="K51" s="441">
        <v>0.25</v>
      </c>
      <c r="L51" s="19"/>
      <c r="M51" s="19"/>
      <c r="N51" s="19"/>
      <c r="O51" s="19"/>
      <c r="P51" s="19"/>
      <c r="Q51" s="19"/>
      <c r="R51" s="19"/>
      <c r="S51" s="19"/>
      <c r="T51" s="19"/>
      <c r="U51" s="19"/>
    </row>
    <row r="52" ht="15.75" customHeight="1">
      <c r="B52" s="318" t="s">
        <v>552</v>
      </c>
      <c r="C52" s="11"/>
      <c r="D52" s="12"/>
      <c r="E52" s="318"/>
      <c r="F52" s="396">
        <f t="shared" ref="F52:K52" si="12">F47+F48-F49</f>
        <v>2350</v>
      </c>
      <c r="G52" s="396">
        <f t="shared" si="12"/>
        <v>-8652</v>
      </c>
      <c r="H52" s="396">
        <f t="shared" si="12"/>
        <v>4143</v>
      </c>
      <c r="I52" s="396">
        <f t="shared" si="12"/>
        <v>5335</v>
      </c>
      <c r="J52" s="396">
        <f t="shared" si="12"/>
        <v>8752</v>
      </c>
      <c r="K52" s="396">
        <f t="shared" si="12"/>
        <v>15605</v>
      </c>
      <c r="L52" s="19"/>
      <c r="M52" s="19"/>
      <c r="N52" s="19"/>
      <c r="O52" s="19"/>
      <c r="P52" s="19"/>
      <c r="Q52" s="19"/>
      <c r="R52" s="19"/>
      <c r="S52" s="19"/>
      <c r="T52" s="19"/>
      <c r="U52" s="19"/>
    </row>
    <row r="53" ht="15.75" customHeight="1">
      <c r="B53" s="442" t="s">
        <v>553</v>
      </c>
      <c r="C53" s="11"/>
      <c r="D53" s="12"/>
      <c r="E53" s="394"/>
      <c r="F53" s="430">
        <f t="shared" ref="F53:K53" si="13">F52/(F50*(1-F51))</f>
        <v>0.4856375284</v>
      </c>
      <c r="G53" s="430">
        <f t="shared" si="13"/>
        <v>-1.938497731</v>
      </c>
      <c r="H53" s="430">
        <f t="shared" si="13"/>
        <v>0.863934939</v>
      </c>
      <c r="I53" s="430">
        <f t="shared" si="13"/>
        <v>0.723708753</v>
      </c>
      <c r="J53" s="430">
        <f t="shared" si="13"/>
        <v>1.125840167</v>
      </c>
      <c r="K53" s="430">
        <f t="shared" si="13"/>
        <v>1.887739672</v>
      </c>
      <c r="L53" s="19"/>
      <c r="M53" s="19"/>
      <c r="N53" s="19"/>
      <c r="O53" s="19"/>
      <c r="P53" s="19"/>
      <c r="Q53" s="19"/>
      <c r="R53" s="19"/>
      <c r="S53" s="19"/>
      <c r="T53" s="19"/>
      <c r="U53" s="19"/>
    </row>
    <row r="54" ht="15.75" customHeight="1">
      <c r="B54" s="318"/>
      <c r="C54" s="11"/>
      <c r="D54" s="12"/>
      <c r="E54" s="318"/>
      <c r="F54" s="318"/>
      <c r="G54" s="318"/>
      <c r="H54" s="318"/>
      <c r="I54" s="318"/>
      <c r="J54" s="318"/>
      <c r="K54" s="318"/>
      <c r="L54" s="19"/>
      <c r="M54" s="19"/>
      <c r="N54" s="19"/>
      <c r="O54" s="19"/>
      <c r="P54" s="19"/>
      <c r="Q54" s="19"/>
      <c r="R54" s="19"/>
      <c r="S54" s="19"/>
      <c r="T54" s="19"/>
      <c r="U54" s="19"/>
    </row>
    <row r="55" ht="15.75" customHeight="1">
      <c r="B55" s="318"/>
      <c r="C55" s="11"/>
      <c r="D55" s="12"/>
      <c r="E55" s="318"/>
      <c r="F55" s="318"/>
      <c r="G55" s="318"/>
      <c r="H55" s="318"/>
      <c r="I55" s="318"/>
      <c r="J55" s="443" t="s">
        <v>186</v>
      </c>
      <c r="K55" s="444">
        <f>AVERAGE(F53:K53)</f>
        <v>0.5247272214</v>
      </c>
    </row>
    <row r="56" ht="15.75" customHeight="1">
      <c r="B56" s="318"/>
      <c r="C56" s="11"/>
      <c r="D56" s="12"/>
      <c r="E56" s="318"/>
      <c r="F56" s="318"/>
      <c r="G56" s="318"/>
      <c r="H56" s="318"/>
      <c r="I56" s="318"/>
      <c r="J56" s="318"/>
      <c r="K56" s="318"/>
    </row>
    <row r="57" ht="15.75" customHeight="1">
      <c r="B57" s="443" t="s">
        <v>554</v>
      </c>
      <c r="C57" s="11"/>
      <c r="D57" s="12"/>
      <c r="E57" s="318"/>
      <c r="F57" s="445">
        <f t="shared" ref="F57:K57" si="14">F53*F42</f>
        <v>0.05635998441</v>
      </c>
      <c r="G57" s="445">
        <f t="shared" si="14"/>
        <v>-0.2322622211</v>
      </c>
      <c r="H57" s="445">
        <f t="shared" si="14"/>
        <v>0.1066656368</v>
      </c>
      <c r="I57" s="445">
        <f t="shared" si="14"/>
        <v>0.1320364802</v>
      </c>
      <c r="J57" s="445">
        <f t="shared" si="14"/>
        <v>0.2118038539</v>
      </c>
      <c r="K57" s="445">
        <f t="shared" si="14"/>
        <v>0.32093205</v>
      </c>
    </row>
    <row r="58" ht="15.75" customHeight="1">
      <c r="B58" s="318"/>
      <c r="C58" s="14"/>
      <c r="D58" s="16"/>
      <c r="E58" s="318"/>
      <c r="F58" s="318"/>
      <c r="G58" s="318"/>
      <c r="H58" s="318"/>
      <c r="I58" s="318"/>
      <c r="J58" s="318"/>
      <c r="K58" s="318"/>
    </row>
    <row r="59" ht="15.75" customHeight="1">
      <c r="J59" s="306" t="s">
        <v>186</v>
      </c>
      <c r="K59" s="306">
        <f>AVERAGE(F57:K57)</f>
        <v>0.09925596404</v>
      </c>
    </row>
    <row r="60" ht="15.75" customHeight="1"/>
    <row r="61" ht="15.75" customHeight="1">
      <c r="B61" s="446" t="s">
        <v>555</v>
      </c>
      <c r="C61" s="7"/>
      <c r="D61" s="7"/>
      <c r="E61" s="7"/>
      <c r="F61" s="7"/>
      <c r="G61" s="7"/>
      <c r="H61" s="7"/>
      <c r="I61" s="7"/>
      <c r="J61" s="7"/>
      <c r="K61" s="7"/>
      <c r="L61" s="7"/>
      <c r="M61" s="7"/>
      <c r="N61" s="7"/>
      <c r="O61" s="8"/>
    </row>
    <row r="62" ht="15.75" customHeight="1">
      <c r="B62" s="11"/>
      <c r="O62" s="12"/>
    </row>
    <row r="63" ht="15.75" customHeight="1">
      <c r="B63" s="14"/>
      <c r="C63" s="15"/>
      <c r="D63" s="15"/>
      <c r="E63" s="15"/>
      <c r="F63" s="15"/>
      <c r="G63" s="15"/>
      <c r="H63" s="15"/>
      <c r="I63" s="15"/>
      <c r="J63" s="15"/>
      <c r="K63" s="15"/>
      <c r="L63" s="15"/>
      <c r="M63" s="15"/>
      <c r="N63" s="15"/>
      <c r="O63" s="16"/>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B1:K1"/>
    <mergeCell ref="B4:C4"/>
    <mergeCell ref="C37:D43"/>
    <mergeCell ref="L38:M39"/>
    <mergeCell ref="B45:C45"/>
    <mergeCell ref="C46:D58"/>
    <mergeCell ref="L47:M47"/>
    <mergeCell ref="B61:O6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37.56"/>
    <col customWidth="1" min="3" max="3" width="37.89"/>
    <col customWidth="1" min="4" max="4" width="14.22"/>
    <col customWidth="1" min="5" max="5" width="20.56"/>
    <col customWidth="1" min="6" max="6" width="14.11"/>
    <col customWidth="1" min="7" max="7" width="13.78"/>
    <col customWidth="1" min="8" max="8" width="15.0"/>
    <col customWidth="1" min="10" max="10" width="24.11"/>
  </cols>
  <sheetData>
    <row r="1" ht="11.25" customHeight="1"/>
    <row r="2" ht="15.75" customHeight="1">
      <c r="B2" s="447" t="s">
        <v>556</v>
      </c>
      <c r="C2" s="448">
        <v>45741.0</v>
      </c>
      <c r="D2" s="448">
        <v>45742.0</v>
      </c>
      <c r="E2" s="448">
        <v>45743.0</v>
      </c>
      <c r="F2" s="448">
        <v>45744.0</v>
      </c>
      <c r="G2" s="448">
        <v>45745.0</v>
      </c>
      <c r="H2" s="448">
        <v>45746.0</v>
      </c>
      <c r="K2" s="449"/>
      <c r="L2" s="449"/>
      <c r="M2" s="449"/>
      <c r="N2" s="449"/>
      <c r="O2" s="449"/>
      <c r="P2" s="449"/>
      <c r="Q2" s="449"/>
      <c r="R2" s="449"/>
      <c r="S2" s="449"/>
      <c r="T2" s="450"/>
    </row>
    <row r="3" ht="15.75" customHeight="1">
      <c r="B3" s="451" t="s">
        <v>546</v>
      </c>
      <c r="C3" s="452">
        <v>11022.0</v>
      </c>
      <c r="D3" s="453">
        <f t="shared" ref="D3:H3" si="1">(C3*(1+0.09926))</f>
        <v>12116.04372</v>
      </c>
      <c r="E3" s="453">
        <f t="shared" si="1"/>
        <v>13318.68222</v>
      </c>
      <c r="F3" s="453">
        <f t="shared" si="1"/>
        <v>14640.69462</v>
      </c>
      <c r="G3" s="453">
        <f t="shared" si="1"/>
        <v>16093.92996</v>
      </c>
      <c r="H3" s="453">
        <f t="shared" si="1"/>
        <v>17691.41345</v>
      </c>
      <c r="K3" s="449"/>
      <c r="L3" s="454"/>
      <c r="M3" s="450"/>
      <c r="N3" s="450"/>
      <c r="O3" s="450"/>
      <c r="P3" s="450"/>
      <c r="Q3" s="450"/>
      <c r="R3" s="449"/>
      <c r="S3" s="449"/>
      <c r="T3" s="450"/>
    </row>
    <row r="4" ht="15.75" customHeight="1">
      <c r="B4" s="451" t="s">
        <v>455</v>
      </c>
      <c r="C4" s="455">
        <v>0.3</v>
      </c>
      <c r="D4" s="455">
        <v>0.3</v>
      </c>
      <c r="E4" s="455">
        <v>0.3</v>
      </c>
      <c r="F4" s="455">
        <v>0.3</v>
      </c>
      <c r="G4" s="455">
        <v>0.3</v>
      </c>
      <c r="H4" s="455">
        <v>0.3</v>
      </c>
      <c r="K4" s="449"/>
      <c r="L4" s="456"/>
      <c r="M4" s="456"/>
      <c r="N4" s="456"/>
      <c r="O4" s="456"/>
      <c r="P4" s="456"/>
      <c r="Q4" s="456"/>
      <c r="R4" s="449"/>
      <c r="S4" s="449"/>
      <c r="T4" s="449"/>
    </row>
    <row r="5" ht="15.75" customHeight="1">
      <c r="B5" s="451" t="s">
        <v>557</v>
      </c>
      <c r="C5" s="453">
        <f t="shared" ref="C5:H5" si="2">(C3*(1-0.3))</f>
        <v>7715.4</v>
      </c>
      <c r="D5" s="453">
        <f t="shared" si="2"/>
        <v>8481.230604</v>
      </c>
      <c r="E5" s="453">
        <f t="shared" si="2"/>
        <v>9323.077554</v>
      </c>
      <c r="F5" s="453">
        <f t="shared" si="2"/>
        <v>10248.48623</v>
      </c>
      <c r="G5" s="453">
        <f t="shared" si="2"/>
        <v>11265.75098</v>
      </c>
      <c r="H5" s="453">
        <f t="shared" si="2"/>
        <v>12383.98942</v>
      </c>
      <c r="K5" s="449"/>
      <c r="L5" s="450"/>
      <c r="M5" s="450"/>
      <c r="N5" s="450"/>
      <c r="O5" s="450"/>
      <c r="P5" s="450"/>
      <c r="Q5" s="450"/>
      <c r="R5" s="449"/>
      <c r="S5" s="449"/>
      <c r="T5" s="449"/>
    </row>
    <row r="6" ht="15.75" customHeight="1">
      <c r="B6" s="451" t="s">
        <v>558</v>
      </c>
      <c r="C6" s="457">
        <f>Growth!K55</f>
        <v>0.5247272214</v>
      </c>
      <c r="D6" s="453">
        <f>C6-F14</f>
        <v>0.4254672214</v>
      </c>
      <c r="E6" s="453">
        <f>D6-F14</f>
        <v>0.3262072214</v>
      </c>
      <c r="F6" s="453">
        <f>E6-F14</f>
        <v>0.2269472214</v>
      </c>
      <c r="G6" s="453">
        <f>F6-F14</f>
        <v>0.1276872214</v>
      </c>
      <c r="H6" s="453">
        <f>G6-F14</f>
        <v>0.02842722139</v>
      </c>
      <c r="I6" s="449"/>
      <c r="K6" s="449"/>
      <c r="L6" s="450"/>
      <c r="M6" s="450"/>
      <c r="N6" s="450"/>
      <c r="O6" s="450"/>
      <c r="P6" s="450"/>
      <c r="Q6" s="450"/>
      <c r="R6" s="449"/>
      <c r="S6" s="449"/>
      <c r="T6" s="449"/>
    </row>
    <row r="7" ht="15.75" customHeight="1">
      <c r="B7" s="451"/>
      <c r="C7" s="453"/>
      <c r="D7" s="453"/>
      <c r="E7" s="453"/>
      <c r="F7" s="453"/>
      <c r="G7" s="453"/>
      <c r="H7" s="453"/>
      <c r="K7" s="449"/>
      <c r="L7" s="449"/>
      <c r="M7" s="449"/>
      <c r="N7" s="449"/>
      <c r="O7" s="449"/>
      <c r="P7" s="449"/>
      <c r="Q7" s="449"/>
      <c r="R7" s="449"/>
      <c r="S7" s="449"/>
      <c r="T7" s="449"/>
    </row>
    <row r="8" ht="15.75" customHeight="1">
      <c r="B8" s="458" t="s">
        <v>559</v>
      </c>
      <c r="C8" s="459">
        <f t="shared" ref="C8:H8" si="3">C5*(1-C6%)</f>
        <v>7674.915196</v>
      </c>
      <c r="D8" s="459">
        <f t="shared" si="3"/>
        <v>8445.145748</v>
      </c>
      <c r="E8" s="459">
        <f t="shared" si="3"/>
        <v>9292.665002</v>
      </c>
      <c r="F8" s="459">
        <f t="shared" si="3"/>
        <v>10225.22758</v>
      </c>
      <c r="G8" s="459">
        <f t="shared" si="3"/>
        <v>11251.36605</v>
      </c>
      <c r="H8" s="459">
        <f t="shared" si="3"/>
        <v>12380.46899</v>
      </c>
      <c r="K8" s="449"/>
      <c r="L8" s="450"/>
      <c r="M8" s="450"/>
      <c r="N8" s="450"/>
      <c r="O8" s="450"/>
      <c r="P8" s="450"/>
      <c r="Q8" s="450"/>
      <c r="R8" s="449"/>
    </row>
    <row r="9" ht="15.75" customHeight="1">
      <c r="B9" s="451"/>
      <c r="C9" s="453"/>
      <c r="D9" s="453"/>
      <c r="E9" s="453"/>
      <c r="F9" s="453"/>
      <c r="G9" s="453"/>
      <c r="H9" s="453"/>
      <c r="K9" s="449"/>
      <c r="L9" s="449"/>
      <c r="M9" s="449"/>
      <c r="N9" s="449"/>
      <c r="O9" s="449"/>
      <c r="P9" s="449"/>
      <c r="Q9" s="449"/>
      <c r="R9" s="449"/>
    </row>
    <row r="10" ht="15.75" customHeight="1">
      <c r="B10" s="451" t="s">
        <v>560</v>
      </c>
      <c r="C10" s="453"/>
      <c r="D10" s="453">
        <v>0.5</v>
      </c>
      <c r="E10" s="453">
        <v>1.5</v>
      </c>
      <c r="F10" s="453">
        <v>2.5</v>
      </c>
      <c r="G10" s="453">
        <v>3.5</v>
      </c>
      <c r="H10" s="453">
        <v>4.5</v>
      </c>
      <c r="L10" s="449"/>
      <c r="M10" s="450"/>
      <c r="N10" s="450"/>
      <c r="O10" s="450"/>
      <c r="P10" s="450"/>
      <c r="Q10" s="450"/>
      <c r="R10" s="449"/>
    </row>
    <row r="11" ht="15.75" customHeight="1">
      <c r="B11" s="451" t="s">
        <v>561</v>
      </c>
      <c r="C11" s="453"/>
      <c r="D11" s="453">
        <f>1/(1.1278^0.5)</f>
        <v>0.9416379537</v>
      </c>
      <c r="E11" s="453">
        <f>1/(1.1278^1.5)</f>
        <v>0.8349334578</v>
      </c>
      <c r="F11" s="453">
        <f>1/(1.1278^2.5)</f>
        <v>0.7403204981</v>
      </c>
      <c r="G11" s="453">
        <f>1/(1.1278^3.5)</f>
        <v>0.6564288864</v>
      </c>
      <c r="H11" s="453">
        <f>1/(1.1278^4.5)</f>
        <v>0.5820437014</v>
      </c>
      <c r="L11" s="450"/>
      <c r="M11" s="450"/>
      <c r="N11" s="450"/>
      <c r="O11" s="450"/>
      <c r="P11" s="450"/>
      <c r="Q11" s="450"/>
      <c r="R11" s="449"/>
      <c r="S11" s="449"/>
      <c r="T11" s="449"/>
    </row>
    <row r="12" ht="15.75" customHeight="1">
      <c r="B12" s="458" t="s">
        <v>562</v>
      </c>
      <c r="C12" s="459"/>
      <c r="D12" s="459">
        <f t="shared" ref="D12:H12" si="4">D8*D11</f>
        <v>7952.269761</v>
      </c>
      <c r="E12" s="459">
        <f t="shared" si="4"/>
        <v>7758.756922</v>
      </c>
      <c r="F12" s="459">
        <f t="shared" si="4"/>
        <v>7569.945573</v>
      </c>
      <c r="G12" s="459">
        <f t="shared" si="4"/>
        <v>7385.721688</v>
      </c>
      <c r="H12" s="459">
        <f t="shared" si="4"/>
        <v>7205.973998</v>
      </c>
      <c r="L12" s="449"/>
      <c r="M12" s="450"/>
      <c r="N12" s="450"/>
      <c r="O12" s="450"/>
      <c r="P12" s="450"/>
      <c r="Q12" s="450"/>
      <c r="R12" s="449"/>
      <c r="S12" s="449"/>
      <c r="T12" s="449"/>
    </row>
    <row r="13" ht="15.75" customHeight="1">
      <c r="K13" s="449"/>
      <c r="L13" s="449"/>
      <c r="M13" s="449"/>
      <c r="N13" s="449"/>
      <c r="O13" s="449"/>
      <c r="P13" s="449"/>
      <c r="Q13" s="449"/>
      <c r="R13" s="449"/>
      <c r="S13" s="449"/>
      <c r="T13" s="449"/>
    </row>
    <row r="14" ht="15.75" customHeight="1">
      <c r="B14" s="460" t="s">
        <v>563</v>
      </c>
      <c r="C14" s="3"/>
      <c r="E14" s="461" t="s">
        <v>564</v>
      </c>
      <c r="F14" s="462">
        <v>0.09926</v>
      </c>
      <c r="G14" s="463" t="s">
        <v>565</v>
      </c>
      <c r="H14" s="3"/>
      <c r="K14" s="449"/>
      <c r="L14" s="449"/>
      <c r="M14" s="449"/>
      <c r="N14" s="449"/>
      <c r="O14" s="449"/>
      <c r="P14" s="449"/>
      <c r="Q14" s="449"/>
      <c r="R14" s="449"/>
      <c r="S14" s="449"/>
      <c r="T14" s="449"/>
    </row>
    <row r="15" ht="15.75" customHeight="1">
      <c r="B15" s="464" t="s">
        <v>566</v>
      </c>
      <c r="C15" s="465">
        <f>(H8*(1+0.055))</f>
        <v>13061.39479</v>
      </c>
      <c r="E15" s="461" t="s">
        <v>567</v>
      </c>
      <c r="F15" s="462">
        <v>0.055</v>
      </c>
      <c r="G15" s="463" t="s">
        <v>568</v>
      </c>
      <c r="H15" s="3"/>
      <c r="K15" s="449"/>
      <c r="L15" s="450"/>
      <c r="M15" s="449"/>
      <c r="N15" s="449"/>
      <c r="O15" s="449"/>
      <c r="P15" s="449"/>
      <c r="Q15" s="449"/>
      <c r="R15" s="449"/>
      <c r="S15" s="449"/>
      <c r="T15" s="449"/>
    </row>
    <row r="16" ht="15.75" customHeight="1">
      <c r="B16" s="464" t="s">
        <v>24</v>
      </c>
      <c r="C16" s="466">
        <f>F16</f>
        <v>0.127787</v>
      </c>
      <c r="E16" s="461" t="s">
        <v>24</v>
      </c>
      <c r="F16" s="462">
        <v>0.127787</v>
      </c>
      <c r="G16" s="463" t="s">
        <v>569</v>
      </c>
      <c r="H16" s="3"/>
      <c r="K16" s="449"/>
      <c r="L16" s="450"/>
      <c r="M16" s="449"/>
      <c r="N16" s="449"/>
      <c r="O16" s="449"/>
      <c r="P16" s="449"/>
      <c r="Q16" s="449"/>
      <c r="R16" s="449"/>
      <c r="S16" s="449"/>
      <c r="T16" s="449"/>
    </row>
    <row r="17" ht="15.75" customHeight="1">
      <c r="B17" s="464" t="s">
        <v>570</v>
      </c>
      <c r="C17" s="467">
        <f>F15</f>
        <v>0.055</v>
      </c>
      <c r="K17" s="449"/>
      <c r="L17" s="450"/>
      <c r="M17" s="449"/>
      <c r="N17" s="449"/>
      <c r="O17" s="449"/>
      <c r="P17" s="449"/>
      <c r="Q17" s="449"/>
      <c r="R17" s="449"/>
      <c r="S17" s="449"/>
      <c r="T17" s="449"/>
    </row>
    <row r="18" ht="15.75" customHeight="1">
      <c r="B18" s="464"/>
      <c r="K18" s="449"/>
      <c r="L18" s="449"/>
      <c r="M18" s="449"/>
      <c r="N18" s="449"/>
      <c r="O18" s="449"/>
      <c r="P18" s="449"/>
      <c r="Q18" s="449"/>
      <c r="R18" s="449"/>
      <c r="S18" s="449"/>
      <c r="T18" s="449"/>
    </row>
    <row r="19" ht="15.75" customHeight="1">
      <c r="B19" s="464" t="s">
        <v>571</v>
      </c>
      <c r="C19" s="465">
        <f>C15/(0.1278-0.055)</f>
        <v>179414.7636</v>
      </c>
      <c r="K19" s="449"/>
      <c r="L19" s="450"/>
      <c r="M19" s="449"/>
      <c r="N19" s="449"/>
      <c r="O19" s="449"/>
      <c r="P19" s="449"/>
      <c r="Q19" s="449"/>
      <c r="R19" s="449"/>
      <c r="S19" s="449"/>
      <c r="T19" s="449"/>
    </row>
    <row r="20" ht="15.75" customHeight="1">
      <c r="B20" s="464"/>
      <c r="C20" s="464"/>
      <c r="K20" s="449"/>
      <c r="L20" s="449"/>
      <c r="M20" s="449"/>
      <c r="N20" s="449"/>
      <c r="O20" s="449"/>
      <c r="P20" s="449"/>
      <c r="Q20" s="449"/>
      <c r="R20" s="449"/>
      <c r="S20" s="449"/>
      <c r="T20" s="449"/>
    </row>
    <row r="21" ht="15.75" customHeight="1">
      <c r="B21" s="464" t="s">
        <v>572</v>
      </c>
      <c r="C21" s="464"/>
      <c r="K21" s="449"/>
      <c r="L21" s="449"/>
      <c r="M21" s="449"/>
      <c r="N21" s="449"/>
      <c r="O21" s="449"/>
      <c r="P21" s="449"/>
      <c r="Q21" s="449"/>
      <c r="R21" s="449"/>
      <c r="S21" s="449"/>
      <c r="T21" s="449"/>
    </row>
    <row r="22" ht="15.75" customHeight="1">
      <c r="B22" s="464" t="s">
        <v>562</v>
      </c>
      <c r="C22" s="468">
        <f>(D12+E12+F12+G12+H12)</f>
        <v>37872.66794</v>
      </c>
      <c r="K22" s="449"/>
      <c r="L22" s="450"/>
      <c r="M22" s="449"/>
      <c r="N22" s="449"/>
      <c r="O22" s="449"/>
      <c r="P22" s="449"/>
      <c r="Q22" s="449"/>
      <c r="R22" s="449"/>
      <c r="S22" s="449"/>
      <c r="T22" s="449"/>
    </row>
    <row r="23" ht="15.75" customHeight="1">
      <c r="B23" s="464" t="s">
        <v>573</v>
      </c>
      <c r="C23" s="465">
        <f>C19/(1+0.1278)^5</f>
        <v>98332.64606</v>
      </c>
      <c r="K23" s="449"/>
      <c r="L23" s="450"/>
      <c r="M23" s="449"/>
      <c r="N23" s="449"/>
      <c r="O23" s="449"/>
      <c r="P23" s="449"/>
      <c r="Q23" s="449"/>
      <c r="R23" s="449"/>
      <c r="S23" s="449"/>
      <c r="T23" s="449"/>
    </row>
    <row r="24" ht="15.75" customHeight="1">
      <c r="B24" s="469" t="s">
        <v>574</v>
      </c>
      <c r="C24" s="470">
        <f>(C23+C22)</f>
        <v>136205.314</v>
      </c>
      <c r="K24" s="449"/>
      <c r="L24" s="450"/>
      <c r="M24" s="449"/>
      <c r="N24" s="449"/>
      <c r="O24" s="449"/>
      <c r="P24" s="449"/>
      <c r="Q24" s="449"/>
      <c r="R24" s="449"/>
      <c r="S24" s="449"/>
      <c r="T24" s="449"/>
    </row>
    <row r="25" ht="15.75" customHeight="1">
      <c r="B25" s="464"/>
      <c r="C25" s="464"/>
      <c r="K25" s="449"/>
      <c r="L25" s="449"/>
      <c r="M25" s="449"/>
      <c r="N25" s="449"/>
      <c r="O25" s="449"/>
      <c r="P25" s="449"/>
      <c r="Q25" s="449"/>
      <c r="R25" s="449"/>
      <c r="S25" s="449"/>
      <c r="T25" s="449"/>
    </row>
    <row r="26" ht="15.75" customHeight="1">
      <c r="B26" s="464" t="s">
        <v>575</v>
      </c>
      <c r="C26" s="471">
        <f>'Balance Sheet'!N32</f>
        <v>1533</v>
      </c>
      <c r="K26" s="449"/>
      <c r="L26" s="450"/>
      <c r="M26" s="449"/>
      <c r="N26" s="449"/>
      <c r="O26" s="449"/>
      <c r="P26" s="449"/>
      <c r="Q26" s="449"/>
      <c r="R26" s="449"/>
      <c r="S26" s="449"/>
      <c r="T26" s="449"/>
    </row>
    <row r="27" ht="15.75" customHeight="1">
      <c r="B27" s="464" t="s">
        <v>576</v>
      </c>
      <c r="C27" s="472">
        <f>'Balance Sheet'!N5+'Balance Sheet'!N8+'Balance Sheet'!N9</f>
        <v>23160</v>
      </c>
      <c r="K27" s="449"/>
      <c r="L27" s="449"/>
      <c r="M27" s="449"/>
      <c r="N27" s="449"/>
      <c r="O27" s="449"/>
      <c r="P27" s="449"/>
      <c r="Q27" s="449"/>
      <c r="R27" s="449"/>
      <c r="S27" s="449"/>
      <c r="T27" s="449"/>
    </row>
    <row r="28" ht="15.75" customHeight="1">
      <c r="B28" s="464" t="s">
        <v>577</v>
      </c>
      <c r="C28" s="473">
        <f>C24+C26-C27</f>
        <v>114578.314</v>
      </c>
      <c r="K28" s="449"/>
      <c r="L28" s="449"/>
      <c r="M28" s="449"/>
      <c r="N28" s="449"/>
      <c r="O28" s="449"/>
      <c r="P28" s="449"/>
      <c r="Q28" s="449"/>
      <c r="R28" s="449"/>
      <c r="S28" s="449"/>
      <c r="T28" s="449"/>
    </row>
    <row r="29" ht="15.75" customHeight="1">
      <c r="B29" s="474" t="s">
        <v>578</v>
      </c>
      <c r="C29" s="475">
        <f>320.0931677</f>
        <v>320.0931677</v>
      </c>
      <c r="K29" s="449"/>
      <c r="L29" s="449"/>
      <c r="M29" s="449"/>
      <c r="N29" s="449"/>
      <c r="O29" s="449"/>
      <c r="P29" s="449"/>
      <c r="Q29" s="449"/>
      <c r="R29" s="449"/>
      <c r="S29" s="449"/>
      <c r="T29" s="449"/>
    </row>
    <row r="30" ht="15.75" customHeight="1">
      <c r="B30" s="464"/>
      <c r="C30" s="464"/>
      <c r="K30" s="449"/>
      <c r="L30" s="449"/>
      <c r="M30" s="449"/>
      <c r="N30" s="449"/>
      <c r="O30" s="449"/>
      <c r="P30" s="449"/>
      <c r="Q30" s="449"/>
      <c r="R30" s="449"/>
      <c r="S30" s="449"/>
      <c r="T30" s="449"/>
    </row>
    <row r="31" ht="15.75" customHeight="1">
      <c r="B31" s="476" t="s">
        <v>579</v>
      </c>
      <c r="C31" s="476">
        <f>C28/C29</f>
        <v>357.9530136</v>
      </c>
      <c r="K31" s="449"/>
      <c r="L31" s="449"/>
      <c r="M31" s="449"/>
      <c r="N31" s="449"/>
      <c r="O31" s="449"/>
      <c r="P31" s="449"/>
      <c r="Q31" s="449"/>
      <c r="R31" s="449"/>
      <c r="S31" s="449"/>
      <c r="T31" s="449"/>
    </row>
    <row r="32" ht="15.75" customHeight="1">
      <c r="B32" s="464"/>
      <c r="C32" s="464"/>
      <c r="K32" s="449"/>
      <c r="L32" s="449"/>
      <c r="M32" s="449"/>
      <c r="N32" s="449"/>
      <c r="O32" s="449"/>
      <c r="P32" s="449"/>
      <c r="Q32" s="449"/>
      <c r="R32" s="449"/>
      <c r="S32" s="449"/>
      <c r="T32" s="449"/>
    </row>
    <row r="33" ht="15.75" customHeight="1">
      <c r="B33" s="474" t="s">
        <v>580</v>
      </c>
      <c r="C33" s="474">
        <v>400.0</v>
      </c>
      <c r="K33" s="449"/>
      <c r="L33" s="449"/>
      <c r="M33" s="449"/>
      <c r="N33" s="449"/>
      <c r="O33" s="449"/>
      <c r="P33" s="449"/>
      <c r="Q33" s="449"/>
      <c r="R33" s="449"/>
      <c r="S33" s="449"/>
      <c r="T33" s="449"/>
    </row>
    <row r="34" ht="15.75" customHeight="1">
      <c r="B34" s="464" t="s">
        <v>581</v>
      </c>
      <c r="C34" s="464">
        <f>C33/C31</f>
        <v>1.1174651</v>
      </c>
      <c r="K34" s="449"/>
      <c r="L34" s="449"/>
      <c r="M34" s="449"/>
      <c r="N34" s="449"/>
      <c r="O34" s="449"/>
      <c r="P34" s="449"/>
      <c r="Q34" s="449"/>
      <c r="R34" s="449"/>
      <c r="S34" s="449"/>
      <c r="T34" s="449"/>
    </row>
    <row r="35" ht="15.75" customHeight="1">
      <c r="B35" s="318"/>
      <c r="C35" s="318"/>
    </row>
    <row r="36" ht="15.75" customHeight="1">
      <c r="B36" s="477" t="s">
        <v>582</v>
      </c>
      <c r="C36" s="478" t="s">
        <v>583</v>
      </c>
    </row>
    <row r="37" ht="15.75" customHeight="1">
      <c r="B37" s="479" t="s">
        <v>584</v>
      </c>
      <c r="C37" s="479"/>
    </row>
    <row r="38" ht="15.75" customHeight="1"/>
    <row r="39" ht="15.75" customHeight="1">
      <c r="B39" s="480" t="s">
        <v>585</v>
      </c>
      <c r="C39" s="2"/>
      <c r="D39" s="2"/>
      <c r="E39" s="2"/>
      <c r="F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4:C14"/>
    <mergeCell ref="G14:H14"/>
    <mergeCell ref="G15:H15"/>
    <mergeCell ref="G16:H16"/>
    <mergeCell ref="B39:F3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
    <col customWidth="1" min="2" max="2" width="23.0"/>
    <col customWidth="1" min="3" max="3" width="16.44"/>
    <col customWidth="1" min="4" max="4" width="19.33"/>
    <col customWidth="1" min="5" max="5" width="17.33"/>
    <col customWidth="1" min="6" max="6" width="13.44"/>
    <col customWidth="1" min="7" max="7" width="17.22"/>
    <col customWidth="1" min="8" max="8" width="17.11"/>
    <col customWidth="1" min="9" max="9" width="27.89"/>
    <col customWidth="1" min="10" max="10" width="23.22"/>
    <col customWidth="1" min="11" max="11" width="18.0"/>
    <col customWidth="1" min="12" max="12" width="16.56"/>
    <col customWidth="1" min="13" max="13" width="14.0"/>
    <col customWidth="1" min="14" max="14" width="17.22"/>
    <col customWidth="1" min="15" max="15" width="20.78"/>
    <col customWidth="1" min="16" max="16" width="17.56"/>
  </cols>
  <sheetData>
    <row r="1">
      <c r="A1" s="481"/>
      <c r="F1" s="482"/>
    </row>
    <row r="2">
      <c r="A2" s="483"/>
      <c r="B2" s="484" t="s">
        <v>452</v>
      </c>
      <c r="C2" s="485" t="s">
        <v>586</v>
      </c>
      <c r="D2" s="485" t="s">
        <v>587</v>
      </c>
      <c r="E2" s="485" t="s">
        <v>588</v>
      </c>
      <c r="F2" s="486" t="s">
        <v>589</v>
      </c>
      <c r="G2" s="486" t="s">
        <v>28</v>
      </c>
      <c r="H2" s="485" t="s">
        <v>590</v>
      </c>
      <c r="I2" s="487" t="s">
        <v>591</v>
      </c>
      <c r="J2" s="485" t="s">
        <v>592</v>
      </c>
      <c r="K2" s="485" t="s">
        <v>574</v>
      </c>
      <c r="L2" s="485" t="s">
        <v>593</v>
      </c>
      <c r="M2" s="485" t="s">
        <v>594</v>
      </c>
      <c r="N2" s="485" t="s">
        <v>595</v>
      </c>
      <c r="O2" s="485" t="s">
        <v>596</v>
      </c>
      <c r="P2" s="485" t="s">
        <v>597</v>
      </c>
    </row>
    <row r="3">
      <c r="A3" s="488"/>
      <c r="B3" s="489" t="s">
        <v>598</v>
      </c>
      <c r="C3" s="490">
        <v>34.29</v>
      </c>
      <c r="D3" s="490">
        <v>3.63</v>
      </c>
      <c r="E3" s="490">
        <v>1.96</v>
      </c>
      <c r="F3" s="491">
        <v>0.75</v>
      </c>
      <c r="G3" s="492">
        <v>13.32</v>
      </c>
      <c r="H3" s="493">
        <v>10.97</v>
      </c>
      <c r="I3" s="493">
        <v>12.12</v>
      </c>
      <c r="J3" s="493">
        <v>6.87</v>
      </c>
      <c r="K3" s="493">
        <v>179215.94</v>
      </c>
      <c r="L3" s="493">
        <v>128101.12</v>
      </c>
      <c r="M3" s="493">
        <v>12.43</v>
      </c>
      <c r="N3" s="493">
        <v>319.53</v>
      </c>
      <c r="O3" s="493">
        <v>14792.79</v>
      </c>
      <c r="P3" s="493">
        <v>65478.24</v>
      </c>
    </row>
    <row r="4">
      <c r="A4" s="488"/>
      <c r="B4" s="494" t="s">
        <v>599</v>
      </c>
      <c r="C4" s="495">
        <v>18.14</v>
      </c>
      <c r="D4" s="495">
        <v>4.15</v>
      </c>
      <c r="E4" s="495">
        <v>4.11</v>
      </c>
      <c r="F4" s="496">
        <v>0.28</v>
      </c>
      <c r="G4" s="497">
        <v>17.5</v>
      </c>
      <c r="H4" s="498">
        <v>25.72</v>
      </c>
      <c r="I4" s="498">
        <v>11.01</v>
      </c>
      <c r="J4" s="498">
        <v>22.71</v>
      </c>
      <c r="K4" s="498">
        <v>264598.45</v>
      </c>
      <c r="L4" s="498">
        <v>231223.46</v>
      </c>
      <c r="M4" s="498">
        <v>33.55</v>
      </c>
      <c r="N4" s="498">
        <v>385.69</v>
      </c>
      <c r="O4" s="498">
        <v>24023.83</v>
      </c>
      <c r="P4" s="498">
        <v>56203.09</v>
      </c>
    </row>
    <row r="5">
      <c r="A5" s="488"/>
      <c r="B5" s="499" t="s">
        <v>600</v>
      </c>
      <c r="C5" s="500">
        <v>23.97</v>
      </c>
      <c r="D5" s="500">
        <v>4.05</v>
      </c>
      <c r="E5" s="500">
        <v>2.46</v>
      </c>
      <c r="F5" s="501">
        <v>1.65</v>
      </c>
      <c r="G5" s="502">
        <v>15.47</v>
      </c>
      <c r="H5" s="503">
        <v>20.14</v>
      </c>
      <c r="I5" s="503">
        <v>13.83</v>
      </c>
      <c r="J5" s="503">
        <v>10.49</v>
      </c>
      <c r="K5" s="503">
        <v>80114.78</v>
      </c>
      <c r="L5" s="503">
        <v>71655.04</v>
      </c>
      <c r="M5" s="503">
        <v>59.31</v>
      </c>
      <c r="N5" s="503">
        <v>50.39</v>
      </c>
      <c r="O5" s="503">
        <v>5794.57</v>
      </c>
      <c r="P5" s="503">
        <v>29165.26</v>
      </c>
    </row>
    <row r="6">
      <c r="A6" s="488"/>
      <c r="B6" s="494" t="s">
        <v>601</v>
      </c>
      <c r="C6" s="495">
        <v>14.22</v>
      </c>
      <c r="D6" s="495">
        <v>1.78</v>
      </c>
      <c r="E6" s="495">
        <v>1.77</v>
      </c>
      <c r="F6" s="496">
        <v>0.78</v>
      </c>
      <c r="G6" s="497">
        <v>5.19</v>
      </c>
      <c r="H6" s="498">
        <v>13.59</v>
      </c>
      <c r="I6" s="498">
        <v>9.1</v>
      </c>
      <c r="J6" s="498">
        <v>12.73</v>
      </c>
      <c r="K6" s="498">
        <v>571477.02</v>
      </c>
      <c r="L6" s="498">
        <v>332837.97</v>
      </c>
      <c r="M6" s="498">
        <v>24.16</v>
      </c>
      <c r="N6" s="498">
        <v>969.67</v>
      </c>
      <c r="O6" s="498">
        <v>62767.59</v>
      </c>
      <c r="P6" s="498">
        <v>188138.06</v>
      </c>
    </row>
    <row r="7">
      <c r="A7" s="488"/>
      <c r="B7" s="494" t="s">
        <v>602</v>
      </c>
      <c r="C7" s="500">
        <v>17.88</v>
      </c>
      <c r="D7" s="500">
        <v>2.97</v>
      </c>
      <c r="E7" s="500">
        <v>6.06</v>
      </c>
      <c r="F7" s="496">
        <v>1.85</v>
      </c>
      <c r="G7" s="502">
        <v>-2.19</v>
      </c>
      <c r="H7" s="503">
        <v>17.26</v>
      </c>
      <c r="I7" s="503">
        <v>9.74</v>
      </c>
      <c r="J7" s="503">
        <v>33.9</v>
      </c>
      <c r="K7" s="503">
        <v>398343.52</v>
      </c>
      <c r="L7" s="503">
        <v>277390.55</v>
      </c>
      <c r="M7" s="503">
        <v>16.69</v>
      </c>
      <c r="N7" s="503">
        <v>930.06</v>
      </c>
      <c r="O7" s="503">
        <v>40898.48</v>
      </c>
      <c r="P7" s="503">
        <v>45792.32</v>
      </c>
    </row>
    <row r="8">
      <c r="A8" s="488"/>
      <c r="B8" s="494" t="s">
        <v>603</v>
      </c>
      <c r="C8" s="500">
        <v>96.73</v>
      </c>
      <c r="D8" s="500">
        <v>12.96</v>
      </c>
      <c r="E8" s="500">
        <v>14.37</v>
      </c>
      <c r="F8" s="496">
        <v>0.76</v>
      </c>
      <c r="G8" s="497">
        <v>21.12</v>
      </c>
      <c r="H8" s="503">
        <v>14.61</v>
      </c>
      <c r="I8" s="503">
        <v>22.56</v>
      </c>
      <c r="J8" s="503">
        <v>20.57</v>
      </c>
      <c r="K8" s="503">
        <v>237831.75</v>
      </c>
      <c r="L8" s="503">
        <v>161123.75</v>
      </c>
      <c r="M8" s="503">
        <v>9.12</v>
      </c>
      <c r="N8" s="503">
        <v>162.26</v>
      </c>
      <c r="O8" s="503">
        <v>10543.0</v>
      </c>
      <c r="P8" s="503">
        <v>11212.0</v>
      </c>
    </row>
    <row r="9">
      <c r="A9" s="488"/>
      <c r="B9" s="494" t="s">
        <v>604</v>
      </c>
      <c r="C9" s="500">
        <v>47.37</v>
      </c>
      <c r="D9" s="500">
        <v>4.81</v>
      </c>
      <c r="E9" s="500">
        <v>4.45</v>
      </c>
      <c r="F9" s="496">
        <v>1.84</v>
      </c>
      <c r="G9" s="502">
        <v>23.72</v>
      </c>
      <c r="H9" s="503">
        <v>12.84</v>
      </c>
      <c r="I9" s="503">
        <v>18.39</v>
      </c>
      <c r="J9" s="503">
        <v>9.38</v>
      </c>
      <c r="K9" s="503">
        <v>142369.52</v>
      </c>
      <c r="L9" s="503">
        <v>105712.92</v>
      </c>
      <c r="M9" s="503">
        <v>8.82</v>
      </c>
      <c r="N9" s="503">
        <v>120.13</v>
      </c>
      <c r="O9" s="503">
        <v>7742.18</v>
      </c>
      <c r="P9" s="503">
        <v>23767.09</v>
      </c>
    </row>
    <row r="10">
      <c r="A10" s="488"/>
      <c r="B10" s="494" t="s">
        <v>605</v>
      </c>
      <c r="C10" s="500">
        <v>50.37</v>
      </c>
      <c r="D10" s="500">
        <v>3.21</v>
      </c>
      <c r="E10" s="500">
        <v>7.66</v>
      </c>
      <c r="F10" s="496">
        <v>4.15</v>
      </c>
      <c r="G10" s="497">
        <v>-2.98</v>
      </c>
      <c r="H10" s="503">
        <v>7.41</v>
      </c>
      <c r="I10" s="503">
        <v>22.82</v>
      </c>
      <c r="J10" s="503">
        <v>15.45</v>
      </c>
      <c r="K10" s="503">
        <v>135412.67</v>
      </c>
      <c r="L10" s="503">
        <v>89922.66</v>
      </c>
      <c r="M10" s="503">
        <v>11.16</v>
      </c>
      <c r="N10" s="503">
        <v>174.78</v>
      </c>
      <c r="O10" s="503">
        <v>5933.49</v>
      </c>
      <c r="P10" s="503">
        <v>11745.39</v>
      </c>
    </row>
    <row r="11">
      <c r="A11" s="488"/>
      <c r="B11" s="494" t="s">
        <v>606</v>
      </c>
      <c r="C11" s="495">
        <v>29.55</v>
      </c>
      <c r="D11" s="495">
        <v>2.24</v>
      </c>
      <c r="E11" s="495">
        <v>8.52</v>
      </c>
      <c r="F11" s="496">
        <v>-18.46</v>
      </c>
      <c r="G11" s="502">
        <v>14.84</v>
      </c>
      <c r="H11" s="498">
        <v>7.67</v>
      </c>
      <c r="I11" s="498">
        <v>17.51</v>
      </c>
      <c r="J11" s="498">
        <v>32.87</v>
      </c>
      <c r="K11" s="498">
        <v>125202.15</v>
      </c>
      <c r="L11" s="498">
        <v>88396.31</v>
      </c>
      <c r="M11" s="498">
        <v>2.99</v>
      </c>
      <c r="N11" s="498">
        <v>1004.5</v>
      </c>
      <c r="O11" s="498">
        <v>7149.17</v>
      </c>
      <c r="P11" s="498">
        <v>10379.86</v>
      </c>
    </row>
    <row r="12">
      <c r="A12" s="488"/>
      <c r="B12" s="494" t="s">
        <v>607</v>
      </c>
      <c r="C12" s="495">
        <v>47.63</v>
      </c>
      <c r="D12" s="495">
        <v>2.75</v>
      </c>
      <c r="E12" s="495">
        <v>12.69</v>
      </c>
      <c r="F12" s="496">
        <v>-4.57</v>
      </c>
      <c r="G12" s="497">
        <v>19.84</v>
      </c>
      <c r="H12" s="498">
        <v>5.79</v>
      </c>
      <c r="I12" s="498">
        <v>24.87</v>
      </c>
      <c r="J12" s="498">
        <v>26.63</v>
      </c>
      <c r="K12" s="498">
        <v>62637.28</v>
      </c>
      <c r="L12" s="498">
        <v>38983.56</v>
      </c>
      <c r="M12" s="498">
        <v>2.09</v>
      </c>
      <c r="N12" s="498">
        <v>392.98</v>
      </c>
      <c r="O12" s="498">
        <v>2518.46</v>
      </c>
      <c r="P12" s="498">
        <v>3072.01</v>
      </c>
    </row>
    <row r="13">
      <c r="A13" s="488"/>
      <c r="B13" s="494" t="s">
        <v>608</v>
      </c>
      <c r="C13" s="500">
        <v>11.91</v>
      </c>
      <c r="D13" s="500">
        <v>1.68</v>
      </c>
      <c r="E13" s="500">
        <v>2.05</v>
      </c>
      <c r="F13" s="496">
        <v>0.94</v>
      </c>
      <c r="G13" s="502">
        <v>41.36</v>
      </c>
      <c r="H13" s="503">
        <v>14.87</v>
      </c>
      <c r="I13" s="503">
        <v>8.19</v>
      </c>
      <c r="J13" s="503">
        <v>17.76</v>
      </c>
      <c r="K13" s="503">
        <v>53370.59</v>
      </c>
      <c r="L13" s="503">
        <v>31261.71</v>
      </c>
      <c r="M13" s="503">
        <v>18.9</v>
      </c>
      <c r="N13" s="503">
        <v>138.66</v>
      </c>
      <c r="O13" s="503">
        <v>6512.96</v>
      </c>
      <c r="P13" s="503">
        <v>15282.96</v>
      </c>
    </row>
    <row r="14">
      <c r="A14" s="488"/>
      <c r="B14" s="494" t="s">
        <v>609</v>
      </c>
      <c r="C14" s="500">
        <v>17.47</v>
      </c>
      <c r="D14" s="500">
        <v>2.01</v>
      </c>
      <c r="E14" s="500">
        <v>1.4</v>
      </c>
      <c r="F14" s="496">
        <v>8.65</v>
      </c>
      <c r="G14" s="502">
        <v>18.13</v>
      </c>
      <c r="H14" s="503">
        <v>11.67</v>
      </c>
      <c r="I14" s="503">
        <v>8.77</v>
      </c>
      <c r="J14" s="503">
        <v>8.4</v>
      </c>
      <c r="K14" s="503">
        <v>37816.15</v>
      </c>
      <c r="L14" s="503">
        <v>23880.15</v>
      </c>
      <c r="M14" s="503">
        <v>10.33</v>
      </c>
      <c r="N14" s="503">
        <v>132.56</v>
      </c>
      <c r="O14" s="503">
        <v>4311.0</v>
      </c>
      <c r="P14" s="503">
        <v>17001.0</v>
      </c>
    </row>
    <row r="15">
      <c r="A15" s="488"/>
      <c r="B15" s="494" t="s">
        <v>610</v>
      </c>
      <c r="C15" s="495">
        <v>15.56</v>
      </c>
      <c r="D15" s="495">
        <v>2.24</v>
      </c>
      <c r="E15" s="495">
        <v>4.26</v>
      </c>
      <c r="F15" s="496">
        <v>0.83</v>
      </c>
      <c r="G15" s="497">
        <v>6.04</v>
      </c>
      <c r="H15" s="498">
        <v>15.05</v>
      </c>
      <c r="I15" s="498">
        <v>8.46</v>
      </c>
      <c r="J15" s="498">
        <v>36.04</v>
      </c>
      <c r="K15" s="498">
        <v>16816.47</v>
      </c>
      <c r="L15" s="498">
        <v>16968.1</v>
      </c>
      <c r="M15" s="498">
        <v>37.61</v>
      </c>
      <c r="N15" s="498">
        <v>29.02</v>
      </c>
      <c r="O15" s="498">
        <v>1986.78</v>
      </c>
      <c r="P15" s="498">
        <v>3983.55</v>
      </c>
    </row>
    <row r="16">
      <c r="B16" s="74"/>
      <c r="C16" s="19"/>
      <c r="D16" s="19"/>
      <c r="E16" s="19"/>
      <c r="F16" s="482"/>
    </row>
    <row r="17">
      <c r="F17" s="482"/>
    </row>
    <row r="18">
      <c r="B18" s="484" t="s">
        <v>452</v>
      </c>
      <c r="C18" s="485" t="s">
        <v>586</v>
      </c>
      <c r="D18" s="485" t="s">
        <v>587</v>
      </c>
      <c r="E18" s="485" t="s">
        <v>588</v>
      </c>
      <c r="F18" s="486" t="s">
        <v>589</v>
      </c>
    </row>
    <row r="19">
      <c r="B19" s="494" t="s">
        <v>611</v>
      </c>
      <c r="C19" s="504">
        <v>23.97</v>
      </c>
      <c r="D19" s="500">
        <v>4.05</v>
      </c>
      <c r="E19" s="500">
        <v>2.46</v>
      </c>
      <c r="F19" s="505">
        <v>1.65</v>
      </c>
    </row>
    <row r="20">
      <c r="B20" s="489" t="s">
        <v>598</v>
      </c>
      <c r="C20" s="490">
        <v>34.29</v>
      </c>
      <c r="D20" s="490">
        <v>3.63</v>
      </c>
      <c r="E20" s="490">
        <v>1.96</v>
      </c>
      <c r="F20" s="506">
        <v>0.75</v>
      </c>
    </row>
    <row r="21">
      <c r="B21" s="494" t="s">
        <v>612</v>
      </c>
      <c r="C21" s="495">
        <v>18.14</v>
      </c>
      <c r="D21" s="495">
        <v>4.15</v>
      </c>
      <c r="E21" s="495">
        <v>4.11</v>
      </c>
      <c r="F21" s="505">
        <v>0.28</v>
      </c>
    </row>
    <row r="22">
      <c r="B22" s="494" t="s">
        <v>613</v>
      </c>
      <c r="C22" s="495">
        <v>14.22</v>
      </c>
      <c r="D22" s="495">
        <v>1.78</v>
      </c>
      <c r="E22" s="495">
        <v>1.77</v>
      </c>
      <c r="F22" s="505">
        <v>0.78</v>
      </c>
    </row>
    <row r="23">
      <c r="B23" s="494" t="s">
        <v>614</v>
      </c>
      <c r="C23" s="500">
        <v>17.88</v>
      </c>
      <c r="D23" s="500">
        <v>2.97</v>
      </c>
      <c r="E23" s="500">
        <v>6.06</v>
      </c>
      <c r="F23" s="505">
        <v>1.85</v>
      </c>
    </row>
    <row r="24">
      <c r="B24" s="494" t="s">
        <v>615</v>
      </c>
      <c r="C24" s="500">
        <v>96.73</v>
      </c>
      <c r="D24" s="500">
        <v>12.96</v>
      </c>
      <c r="E24" s="500">
        <v>14.37</v>
      </c>
      <c r="F24" s="505">
        <v>0.76</v>
      </c>
    </row>
    <row r="25">
      <c r="B25" s="494" t="s">
        <v>616</v>
      </c>
      <c r="C25" s="500">
        <v>47.37</v>
      </c>
      <c r="D25" s="500">
        <v>4.81</v>
      </c>
      <c r="E25" s="500">
        <v>4.45</v>
      </c>
      <c r="F25" s="505">
        <v>1.84</v>
      </c>
    </row>
    <row r="26">
      <c r="B26" s="494" t="s">
        <v>617</v>
      </c>
      <c r="C26" s="500">
        <v>50.37</v>
      </c>
      <c r="D26" s="500">
        <v>3.21</v>
      </c>
      <c r="E26" s="500">
        <v>7.66</v>
      </c>
      <c r="F26" s="505">
        <v>4.15</v>
      </c>
    </row>
    <row r="27">
      <c r="B27" s="494" t="s">
        <v>618</v>
      </c>
      <c r="C27" s="495">
        <v>29.55</v>
      </c>
      <c r="D27" s="495">
        <v>2.24</v>
      </c>
      <c r="E27" s="495">
        <v>8.52</v>
      </c>
      <c r="F27" s="505">
        <v>-18.46</v>
      </c>
    </row>
    <row r="28">
      <c r="B28" s="494" t="s">
        <v>619</v>
      </c>
      <c r="C28" s="495">
        <v>47.63</v>
      </c>
      <c r="D28" s="495">
        <v>2.75</v>
      </c>
      <c r="E28" s="495">
        <v>12.69</v>
      </c>
      <c r="F28" s="505">
        <v>-4.57</v>
      </c>
    </row>
    <row r="29">
      <c r="B29" s="494" t="s">
        <v>620</v>
      </c>
      <c r="C29" s="500">
        <v>11.91</v>
      </c>
      <c r="D29" s="500">
        <v>1.68</v>
      </c>
      <c r="E29" s="500">
        <v>2.05</v>
      </c>
      <c r="F29" s="505">
        <v>0.94</v>
      </c>
    </row>
    <row r="30">
      <c r="B30" s="494" t="s">
        <v>621</v>
      </c>
      <c r="C30" s="500">
        <v>17.47</v>
      </c>
      <c r="D30" s="500">
        <v>2.01</v>
      </c>
      <c r="E30" s="500">
        <v>1.4</v>
      </c>
      <c r="F30" s="505">
        <v>8.65</v>
      </c>
    </row>
    <row r="31">
      <c r="B31" s="494" t="s">
        <v>622</v>
      </c>
      <c r="C31" s="495">
        <v>15.56</v>
      </c>
      <c r="D31" s="495">
        <v>2.24</v>
      </c>
      <c r="E31" s="495">
        <v>4.26</v>
      </c>
      <c r="F31" s="505">
        <v>0.83</v>
      </c>
    </row>
    <row r="32">
      <c r="B32" s="478" t="s">
        <v>623</v>
      </c>
      <c r="C32" s="507">
        <f t="shared" ref="C32:E32" si="1">AVERAGE(C20:C31)</f>
        <v>33.42666667</v>
      </c>
      <c r="D32" s="507">
        <f t="shared" si="1"/>
        <v>3.7025</v>
      </c>
      <c r="E32" s="507">
        <f t="shared" si="1"/>
        <v>5.775</v>
      </c>
      <c r="F32" s="508">
        <f>AVERAGE(F19:F31)</f>
        <v>-0.04230769231</v>
      </c>
    </row>
    <row r="33">
      <c r="B33" s="478" t="s">
        <v>464</v>
      </c>
      <c r="C33" s="507">
        <f t="shared" ref="C33:E33" si="2">MEDIAN(C20:C31)</f>
        <v>23.845</v>
      </c>
      <c r="D33" s="507">
        <f t="shared" si="2"/>
        <v>2.86</v>
      </c>
      <c r="E33" s="507">
        <f t="shared" si="2"/>
        <v>4.355</v>
      </c>
      <c r="F33" s="508">
        <f>MEDIAN(F19:F31)</f>
        <v>0.83</v>
      </c>
    </row>
    <row r="34">
      <c r="F34" s="482"/>
    </row>
    <row r="35">
      <c r="F35" s="482"/>
    </row>
    <row r="36">
      <c r="F36" s="482"/>
    </row>
    <row r="37">
      <c r="F37" s="482"/>
    </row>
    <row r="38">
      <c r="B38" s="509" t="s">
        <v>624</v>
      </c>
      <c r="C38" s="247"/>
      <c r="D38" s="247"/>
      <c r="E38" s="247"/>
      <c r="F38" s="510"/>
      <c r="G38" s="247"/>
      <c r="H38" s="247"/>
      <c r="I38" s="247"/>
      <c r="J38" s="247"/>
      <c r="K38" s="511"/>
    </row>
    <row r="39">
      <c r="B39" s="512"/>
      <c r="F39" s="482"/>
      <c r="K39" s="513"/>
    </row>
    <row r="40">
      <c r="B40" s="514" t="s">
        <v>313</v>
      </c>
      <c r="C40" s="515"/>
      <c r="F40" s="482"/>
      <c r="K40" s="513"/>
    </row>
    <row r="41">
      <c r="B41" s="516" t="s">
        <v>315</v>
      </c>
      <c r="C41" s="517">
        <v>0.06810189559221912</v>
      </c>
      <c r="F41" s="482"/>
      <c r="K41" s="513"/>
    </row>
    <row r="42">
      <c r="B42" s="516" t="s">
        <v>317</v>
      </c>
      <c r="C42" s="517">
        <v>0.004637868183253513</v>
      </c>
      <c r="F42" s="482"/>
      <c r="K42" s="513"/>
    </row>
    <row r="43">
      <c r="B43" s="516" t="s">
        <v>319</v>
      </c>
      <c r="C43" s="517">
        <v>-0.08584959834554162</v>
      </c>
      <c r="F43" s="482"/>
      <c r="K43" s="513"/>
    </row>
    <row r="44">
      <c r="B44" s="516" t="s">
        <v>320</v>
      </c>
      <c r="C44" s="517">
        <v>24.567172829850836</v>
      </c>
      <c r="F44" s="482"/>
      <c r="K44" s="513"/>
    </row>
    <row r="45">
      <c r="B45" s="518" t="s">
        <v>322</v>
      </c>
      <c r="C45" s="519">
        <v>13.0</v>
      </c>
      <c r="F45" s="482"/>
      <c r="K45" s="513"/>
    </row>
    <row r="46">
      <c r="B46" s="512"/>
      <c r="F46" s="482"/>
      <c r="K46" s="513"/>
    </row>
    <row r="47">
      <c r="B47" s="520" t="s">
        <v>325</v>
      </c>
      <c r="F47" s="482"/>
      <c r="K47" s="513"/>
    </row>
    <row r="48">
      <c r="B48" s="521"/>
      <c r="C48" s="522" t="s">
        <v>326</v>
      </c>
      <c r="D48" s="522" t="s">
        <v>327</v>
      </c>
      <c r="E48" s="522" t="s">
        <v>328</v>
      </c>
      <c r="F48" s="522" t="s">
        <v>329</v>
      </c>
      <c r="G48" s="522" t="s">
        <v>330</v>
      </c>
      <c r="K48" s="513"/>
    </row>
    <row r="49">
      <c r="B49" s="516" t="s">
        <v>332</v>
      </c>
      <c r="C49" s="517">
        <v>1.0</v>
      </c>
      <c r="D49" s="517">
        <v>30.934302938320798</v>
      </c>
      <c r="E49" s="517">
        <v>30.934302938320798</v>
      </c>
      <c r="F49" s="523">
        <v>0.05125426051991003</v>
      </c>
      <c r="G49" s="517">
        <v>0.8250468947493912</v>
      </c>
      <c r="K49" s="513"/>
    </row>
    <row r="50">
      <c r="B50" s="516" t="s">
        <v>334</v>
      </c>
      <c r="C50" s="517">
        <v>11.0</v>
      </c>
      <c r="D50" s="517">
        <v>6639.005789369374</v>
      </c>
      <c r="E50" s="517">
        <v>603.5459808517612</v>
      </c>
      <c r="F50" s="482"/>
      <c r="K50" s="513"/>
    </row>
    <row r="51">
      <c r="B51" s="518" t="s">
        <v>336</v>
      </c>
      <c r="C51" s="519">
        <v>12.0</v>
      </c>
      <c r="D51" s="519">
        <v>6669.940092307695</v>
      </c>
      <c r="E51" s="524"/>
      <c r="F51" s="525"/>
      <c r="G51" s="524"/>
      <c r="K51" s="513"/>
    </row>
    <row r="52">
      <c r="B52" s="512"/>
      <c r="F52" s="482"/>
      <c r="K52" s="513"/>
    </row>
    <row r="53">
      <c r="B53" s="521"/>
      <c r="C53" s="522" t="s">
        <v>337</v>
      </c>
      <c r="D53" s="522" t="s">
        <v>320</v>
      </c>
      <c r="E53" s="522" t="s">
        <v>338</v>
      </c>
      <c r="F53" s="522" t="s">
        <v>339</v>
      </c>
      <c r="G53" s="522" t="s">
        <v>340</v>
      </c>
      <c r="H53" s="522" t="s">
        <v>341</v>
      </c>
      <c r="I53" s="522" t="s">
        <v>340</v>
      </c>
      <c r="J53" s="522" t="s">
        <v>341</v>
      </c>
      <c r="K53" s="513"/>
    </row>
    <row r="54">
      <c r="B54" s="516" t="s">
        <v>345</v>
      </c>
      <c r="C54" s="517">
        <v>30.680752562750058</v>
      </c>
      <c r="D54" s="517">
        <v>11.221303397942481</v>
      </c>
      <c r="E54" s="517">
        <v>2.734152306083768</v>
      </c>
      <c r="F54" s="523">
        <v>0.0194335516198117</v>
      </c>
      <c r="G54" s="517">
        <v>5.982830502706445</v>
      </c>
      <c r="H54" s="517">
        <v>55.37867462279367</v>
      </c>
      <c r="I54" s="517">
        <v>5.982830502706445</v>
      </c>
      <c r="J54" s="517">
        <v>55.37867462279367</v>
      </c>
      <c r="K54" s="513"/>
    </row>
    <row r="55">
      <c r="B55" s="518" t="s">
        <v>625</v>
      </c>
      <c r="C55" s="519">
        <v>0.13712487815765773</v>
      </c>
      <c r="D55" s="519">
        <v>0.6056912066446373</v>
      </c>
      <c r="E55" s="519">
        <v>0.22639403817217663</v>
      </c>
      <c r="F55" s="526">
        <v>0.8250468948284205</v>
      </c>
      <c r="G55" s="519">
        <v>-1.1959924687011694</v>
      </c>
      <c r="H55" s="519">
        <v>1.4702422250164848</v>
      </c>
      <c r="I55" s="519">
        <v>-1.1959924687011694</v>
      </c>
      <c r="J55" s="519">
        <v>1.4702422250164848</v>
      </c>
      <c r="K55" s="513"/>
    </row>
    <row r="56">
      <c r="B56" s="512"/>
      <c r="F56" s="482"/>
      <c r="K56" s="513"/>
    </row>
    <row r="57">
      <c r="B57" s="516" t="s">
        <v>626</v>
      </c>
      <c r="F57" s="482"/>
      <c r="K57" s="513"/>
    </row>
    <row r="58">
      <c r="B58" s="512"/>
      <c r="F58" s="482"/>
      <c r="K58" s="513"/>
    </row>
    <row r="59">
      <c r="B59" s="514" t="s">
        <v>627</v>
      </c>
      <c r="C59" s="522" t="s">
        <v>628</v>
      </c>
      <c r="D59" s="522" t="s">
        <v>629</v>
      </c>
      <c r="F59" s="482"/>
      <c r="K59" s="513"/>
    </row>
    <row r="60">
      <c r="B60" s="527">
        <v>1.0</v>
      </c>
      <c r="C60" s="527">
        <v>32.50725593981006</v>
      </c>
      <c r="D60" s="517">
        <v>1.7827440601899411</v>
      </c>
      <c r="F60" s="57" t="s">
        <v>598</v>
      </c>
      <c r="G60" s="57" t="s">
        <v>630</v>
      </c>
      <c r="H60" s="57" t="s">
        <v>631</v>
      </c>
      <c r="I60" s="57" t="s">
        <v>632</v>
      </c>
      <c r="K60" s="513"/>
    </row>
    <row r="61">
      <c r="B61" s="528">
        <v>2.0</v>
      </c>
      <c r="C61" s="517">
        <v>33.08043793050907</v>
      </c>
      <c r="D61" s="517">
        <v>-14.94043793050907</v>
      </c>
      <c r="F61" s="529">
        <f>C20</f>
        <v>34.29</v>
      </c>
      <c r="G61" s="529">
        <f>C60</f>
        <v>32.50725594</v>
      </c>
      <c r="H61" s="530" t="s">
        <v>633</v>
      </c>
      <c r="I61" s="531">
        <f>(F61-G61)*100/G61</f>
        <v>5.484141951</v>
      </c>
      <c r="K61" s="513"/>
    </row>
    <row r="62">
      <c r="B62" s="532">
        <v>3.0</v>
      </c>
      <c r="C62" s="532">
        <v>32.80207442784902</v>
      </c>
      <c r="D62" s="517">
        <v>-8.832074427849022</v>
      </c>
      <c r="F62" s="482"/>
      <c r="K62" s="513"/>
    </row>
    <row r="63">
      <c r="B63" s="528">
        <v>4.0</v>
      </c>
      <c r="C63" s="517">
        <v>31.3924306803883</v>
      </c>
      <c r="D63" s="517">
        <v>-17.172430680388302</v>
      </c>
      <c r="F63" s="482"/>
      <c r="K63" s="513"/>
    </row>
    <row r="64">
      <c r="B64" s="528">
        <v>5.0</v>
      </c>
      <c r="C64" s="517">
        <v>30.38044907958479</v>
      </c>
      <c r="D64" s="517">
        <v>-12.50044907958479</v>
      </c>
      <c r="F64" s="482"/>
      <c r="K64" s="513"/>
    </row>
    <row r="65">
      <c r="B65" s="528">
        <v>6.0</v>
      </c>
      <c r="C65" s="517">
        <v>33.57682998943979</v>
      </c>
      <c r="D65" s="517">
        <v>63.15317001056022</v>
      </c>
      <c r="F65" s="482"/>
      <c r="K65" s="513"/>
    </row>
    <row r="66">
      <c r="B66" s="528">
        <v>7.0</v>
      </c>
      <c r="C66" s="517">
        <v>33.9333546726497</v>
      </c>
      <c r="D66" s="517">
        <v>13.436645327350298</v>
      </c>
      <c r="F66" s="482"/>
      <c r="K66" s="513"/>
    </row>
    <row r="67">
      <c r="B67" s="528">
        <v>8.0</v>
      </c>
      <c r="C67" s="517">
        <v>30.27212042584024</v>
      </c>
      <c r="D67" s="517">
        <v>20.09787957415976</v>
      </c>
      <c r="F67" s="482"/>
      <c r="K67" s="513"/>
    </row>
    <row r="68">
      <c r="B68" s="528">
        <v>9.0</v>
      </c>
      <c r="C68" s="517">
        <v>32.7156857546097</v>
      </c>
      <c r="D68" s="517">
        <v>-3.165685754609701</v>
      </c>
      <c r="F68" s="482"/>
      <c r="K68" s="513"/>
    </row>
    <row r="69">
      <c r="B69" s="528">
        <v>10.0</v>
      </c>
      <c r="C69" s="517">
        <v>33.401310145397986</v>
      </c>
      <c r="D69" s="517">
        <v>14.228689854602017</v>
      </c>
      <c r="F69" s="482"/>
      <c r="K69" s="513"/>
    </row>
    <row r="70">
      <c r="B70" s="528">
        <v>11.0</v>
      </c>
      <c r="C70" s="517">
        <v>36.35223752335078</v>
      </c>
      <c r="D70" s="517">
        <v>-24.44223752335078</v>
      </c>
      <c r="F70" s="482"/>
      <c r="K70" s="513"/>
    </row>
    <row r="71">
      <c r="B71" s="528">
        <v>12.0</v>
      </c>
      <c r="C71" s="517">
        <v>33.16682660374839</v>
      </c>
      <c r="D71" s="517">
        <v>-15.696826603748391</v>
      </c>
      <c r="F71" s="482"/>
      <c r="K71" s="513"/>
    </row>
    <row r="72">
      <c r="B72" s="533">
        <v>13.0</v>
      </c>
      <c r="C72" s="519">
        <v>31.508986826822312</v>
      </c>
      <c r="D72" s="519">
        <v>-15.948986826822312</v>
      </c>
      <c r="F72" s="482"/>
      <c r="K72" s="513"/>
    </row>
    <row r="73">
      <c r="B73" s="534"/>
      <c r="C73" s="524"/>
      <c r="D73" s="524"/>
      <c r="E73" s="524"/>
      <c r="F73" s="525"/>
      <c r="G73" s="524"/>
      <c r="H73" s="524"/>
      <c r="I73" s="524"/>
      <c r="J73" s="524"/>
      <c r="K73" s="535"/>
    </row>
    <row r="74">
      <c r="F74" s="482"/>
    </row>
    <row r="75">
      <c r="B75" s="509" t="s">
        <v>634</v>
      </c>
      <c r="C75" s="247"/>
      <c r="D75" s="247"/>
      <c r="E75" s="247"/>
      <c r="F75" s="510"/>
      <c r="G75" s="247"/>
      <c r="H75" s="247"/>
      <c r="I75" s="247"/>
      <c r="J75" s="247"/>
      <c r="K75" s="511"/>
    </row>
    <row r="76">
      <c r="B76" s="512"/>
      <c r="F76" s="482"/>
      <c r="K76" s="513"/>
    </row>
    <row r="77">
      <c r="B77" s="514" t="s">
        <v>313</v>
      </c>
      <c r="C77" s="515"/>
      <c r="F77" s="482"/>
      <c r="K77" s="513"/>
    </row>
    <row r="78">
      <c r="B78" s="516" t="s">
        <v>315</v>
      </c>
      <c r="C78" s="517">
        <v>0.14089008291075986</v>
      </c>
      <c r="F78" s="482"/>
      <c r="K78" s="513"/>
    </row>
    <row r="79">
      <c r="B79" s="516" t="s">
        <v>317</v>
      </c>
      <c r="C79" s="517">
        <v>0.01985001546260079</v>
      </c>
      <c r="F79" s="482"/>
      <c r="K79" s="513"/>
    </row>
    <row r="80">
      <c r="B80" s="516" t="s">
        <v>319</v>
      </c>
      <c r="C80" s="517">
        <v>-0.06925452858625358</v>
      </c>
      <c r="F80" s="482"/>
      <c r="K80" s="513"/>
    </row>
    <row r="81">
      <c r="B81" s="516" t="s">
        <v>320</v>
      </c>
      <c r="C81" s="517">
        <v>3.042105548785062</v>
      </c>
      <c r="F81" s="482"/>
      <c r="K81" s="513"/>
    </row>
    <row r="82">
      <c r="B82" s="518" t="s">
        <v>322</v>
      </c>
      <c r="C82" s="519">
        <v>13.0</v>
      </c>
      <c r="F82" s="482"/>
      <c r="K82" s="513"/>
    </row>
    <row r="83">
      <c r="B83" s="512"/>
      <c r="F83" s="482"/>
      <c r="K83" s="513"/>
    </row>
    <row r="84">
      <c r="B84" s="520" t="s">
        <v>325</v>
      </c>
      <c r="F84" s="482"/>
      <c r="K84" s="513"/>
    </row>
    <row r="85">
      <c r="B85" s="521"/>
      <c r="C85" s="522" t="s">
        <v>326</v>
      </c>
      <c r="D85" s="522" t="s">
        <v>327</v>
      </c>
      <c r="E85" s="522" t="s">
        <v>328</v>
      </c>
      <c r="F85" s="522" t="s">
        <v>329</v>
      </c>
      <c r="G85" s="522" t="s">
        <v>330</v>
      </c>
      <c r="K85" s="513"/>
    </row>
    <row r="86">
      <c r="B86" s="516" t="s">
        <v>332</v>
      </c>
      <c r="C86" s="517">
        <v>1.0</v>
      </c>
      <c r="D86" s="517">
        <v>2.0616244382548388</v>
      </c>
      <c r="E86" s="517">
        <v>2.0616244382548388</v>
      </c>
      <c r="F86" s="523">
        <v>0.2227722017377405</v>
      </c>
      <c r="G86" s="517">
        <v>0.6461600600972199</v>
      </c>
      <c r="K86" s="513"/>
    </row>
    <row r="87">
      <c r="B87" s="516" t="s">
        <v>334</v>
      </c>
      <c r="C87" s="517">
        <v>11.0</v>
      </c>
      <c r="D87" s="517">
        <v>101.7984678694375</v>
      </c>
      <c r="E87" s="517">
        <v>9.254406169948863</v>
      </c>
      <c r="F87" s="482"/>
      <c r="K87" s="513"/>
    </row>
    <row r="88">
      <c r="B88" s="518" t="s">
        <v>336</v>
      </c>
      <c r="C88" s="519">
        <v>12.0</v>
      </c>
      <c r="D88" s="519">
        <v>103.86009230769234</v>
      </c>
      <c r="E88" s="524"/>
      <c r="F88" s="525"/>
      <c r="G88" s="524"/>
      <c r="K88" s="513"/>
    </row>
    <row r="89">
      <c r="B89" s="512"/>
      <c r="F89" s="482"/>
      <c r="K89" s="513"/>
    </row>
    <row r="90">
      <c r="B90" s="521"/>
      <c r="C90" s="522" t="s">
        <v>337</v>
      </c>
      <c r="D90" s="522" t="s">
        <v>320</v>
      </c>
      <c r="E90" s="522" t="s">
        <v>338</v>
      </c>
      <c r="F90" s="522" t="s">
        <v>339</v>
      </c>
      <c r="G90" s="522" t="s">
        <v>340</v>
      </c>
      <c r="H90" s="522" t="s">
        <v>341</v>
      </c>
      <c r="I90" s="522" t="s">
        <v>340</v>
      </c>
      <c r="J90" s="522" t="s">
        <v>341</v>
      </c>
      <c r="K90" s="513"/>
    </row>
    <row r="91">
      <c r="B91" s="516" t="s">
        <v>345</v>
      </c>
      <c r="C91" s="517">
        <v>3.208145646019564</v>
      </c>
      <c r="D91" s="517">
        <v>1.3895123206852433</v>
      </c>
      <c r="E91" s="517">
        <v>2.3088284992229897</v>
      </c>
      <c r="F91" s="523">
        <v>0.04138395769337935</v>
      </c>
      <c r="G91" s="517">
        <v>0.1498496726616949</v>
      </c>
      <c r="H91" s="517">
        <v>6.266441619377433</v>
      </c>
      <c r="I91" s="517">
        <v>0.1498496726616949</v>
      </c>
      <c r="J91" s="517">
        <v>6.266441619377433</v>
      </c>
      <c r="K91" s="513"/>
    </row>
    <row r="92">
      <c r="B92" s="518" t="s">
        <v>625</v>
      </c>
      <c r="C92" s="519">
        <v>0.03539980456597869</v>
      </c>
      <c r="D92" s="519">
        <v>0.0750015719490975</v>
      </c>
      <c r="E92" s="519">
        <v>0.471987501675352</v>
      </c>
      <c r="F92" s="526">
        <v>0.6461600601204897</v>
      </c>
      <c r="G92" s="519">
        <v>-0.1296775409694083</v>
      </c>
      <c r="H92" s="519">
        <v>0.2004771501013657</v>
      </c>
      <c r="I92" s="519">
        <v>-0.1296775409694083</v>
      </c>
      <c r="J92" s="519">
        <v>0.2004771501013657</v>
      </c>
      <c r="K92" s="513"/>
    </row>
    <row r="93">
      <c r="B93" s="512"/>
      <c r="F93" s="482"/>
      <c r="K93" s="513"/>
    </row>
    <row r="94">
      <c r="B94" s="516" t="s">
        <v>626</v>
      </c>
      <c r="F94" s="482"/>
      <c r="K94" s="513"/>
    </row>
    <row r="95">
      <c r="B95" s="512"/>
      <c r="F95" s="482"/>
      <c r="K95" s="513"/>
    </row>
    <row r="96">
      <c r="B96" s="514" t="s">
        <v>627</v>
      </c>
      <c r="C96" s="522" t="s">
        <v>628</v>
      </c>
      <c r="D96" s="522" t="s">
        <v>629</v>
      </c>
      <c r="E96" s="522"/>
      <c r="F96" s="482"/>
      <c r="K96" s="513"/>
    </row>
    <row r="97">
      <c r="B97" s="527">
        <v>1.0</v>
      </c>
      <c r="C97" s="527">
        <v>3.6796710428384003</v>
      </c>
      <c r="D97" s="517">
        <v>-0.0496710428384004</v>
      </c>
      <c r="F97" s="482"/>
      <c r="K97" s="513"/>
    </row>
    <row r="98">
      <c r="B98" s="528">
        <v>2.0</v>
      </c>
      <c r="C98" s="517">
        <v>3.8276422259241913</v>
      </c>
      <c r="D98" s="517">
        <v>0.322357774075809</v>
      </c>
      <c r="F98" s="482"/>
      <c r="G98" s="57" t="s">
        <v>598</v>
      </c>
      <c r="H98" s="57" t="s">
        <v>630</v>
      </c>
      <c r="I98" s="57" t="s">
        <v>631</v>
      </c>
      <c r="J98" s="57" t="s">
        <v>632</v>
      </c>
      <c r="K98" s="513"/>
    </row>
    <row r="99">
      <c r="B99" s="536">
        <v>3.0</v>
      </c>
      <c r="C99" s="532">
        <v>3.755780622655254</v>
      </c>
      <c r="D99" s="517">
        <v>0.2942193773447457</v>
      </c>
      <c r="F99" s="482"/>
      <c r="G99" s="529">
        <f>D20</f>
        <v>3.63</v>
      </c>
      <c r="H99" s="529">
        <f>C97</f>
        <v>3.679671043</v>
      </c>
      <c r="I99" s="530" t="s">
        <v>635</v>
      </c>
      <c r="J99" s="531">
        <f>(G99-H99)*100/H99</f>
        <v>-1.349877265</v>
      </c>
      <c r="K99" s="513"/>
    </row>
    <row r="100">
      <c r="B100" s="528">
        <v>4.0</v>
      </c>
      <c r="C100" s="517">
        <v>3.3918706317169933</v>
      </c>
      <c r="D100" s="517">
        <v>-1.6118706317169933</v>
      </c>
      <c r="F100" s="482"/>
      <c r="K100" s="513"/>
    </row>
    <row r="101">
      <c r="B101" s="528">
        <v>5.0</v>
      </c>
      <c r="C101" s="517">
        <v>3.130620074020071</v>
      </c>
      <c r="D101" s="517">
        <v>-0.16062007402007072</v>
      </c>
      <c r="F101" s="482"/>
      <c r="K101" s="513"/>
    </row>
    <row r="102">
      <c r="B102" s="528">
        <v>6.0</v>
      </c>
      <c r="C102" s="517">
        <v>3.955789518453034</v>
      </c>
      <c r="D102" s="517">
        <v>9.004210481546966</v>
      </c>
      <c r="F102" s="482"/>
      <c r="K102" s="513"/>
    </row>
    <row r="103">
      <c r="B103" s="528">
        <v>7.0</v>
      </c>
      <c r="C103" s="517">
        <v>4.047829010324579</v>
      </c>
      <c r="D103" s="517">
        <v>0.762170989675421</v>
      </c>
      <c r="F103" s="482"/>
      <c r="K103" s="513"/>
    </row>
    <row r="104">
      <c r="B104" s="528">
        <v>8.0</v>
      </c>
      <c r="C104" s="517">
        <v>3.1026542284129475</v>
      </c>
      <c r="D104" s="517">
        <v>0.1073457715870525</v>
      </c>
      <c r="F104" s="482"/>
      <c r="K104" s="513"/>
    </row>
    <row r="105">
      <c r="B105" s="528">
        <v>9.0</v>
      </c>
      <c r="C105" s="517">
        <v>3.7334787457786875</v>
      </c>
      <c r="D105" s="517">
        <v>-1.4934787457786873</v>
      </c>
      <c r="F105" s="482"/>
      <c r="K105" s="513"/>
    </row>
    <row r="106">
      <c r="B106" s="528">
        <v>10.0</v>
      </c>
      <c r="C106" s="517">
        <v>3.9104777686085814</v>
      </c>
      <c r="D106" s="517">
        <v>-1.1604777686085814</v>
      </c>
      <c r="F106" s="482"/>
      <c r="K106" s="513"/>
    </row>
    <row r="107">
      <c r="B107" s="528">
        <v>11.0</v>
      </c>
      <c r="C107" s="517">
        <v>4.672281562868442</v>
      </c>
      <c r="D107" s="517">
        <v>-2.9922815628684427</v>
      </c>
      <c r="F107" s="482"/>
      <c r="K107" s="513"/>
    </row>
    <row r="108">
      <c r="B108" s="528">
        <v>12.0</v>
      </c>
      <c r="C108" s="517">
        <v>3.8499441028007575</v>
      </c>
      <c r="D108" s="517">
        <v>-1.8399441028007577</v>
      </c>
      <c r="F108" s="482"/>
      <c r="K108" s="513"/>
    </row>
    <row r="109">
      <c r="B109" s="533">
        <v>13.0</v>
      </c>
      <c r="C109" s="519">
        <v>3.4219604655980755</v>
      </c>
      <c r="D109" s="519">
        <v>-1.1819604655980753</v>
      </c>
      <c r="E109" s="519"/>
      <c r="F109" s="482"/>
      <c r="K109" s="513"/>
    </row>
    <row r="110">
      <c r="B110" s="534"/>
      <c r="C110" s="524"/>
      <c r="D110" s="524"/>
      <c r="E110" s="524"/>
      <c r="F110" s="525"/>
      <c r="G110" s="524"/>
      <c r="H110" s="524"/>
      <c r="I110" s="524"/>
      <c r="J110" s="524"/>
      <c r="K110" s="535"/>
    </row>
    <row r="111">
      <c r="F111" s="482"/>
    </row>
    <row r="112">
      <c r="B112" s="509" t="s">
        <v>636</v>
      </c>
      <c r="C112" s="247"/>
      <c r="D112" s="247"/>
      <c r="E112" s="247"/>
      <c r="F112" s="510"/>
      <c r="G112" s="247"/>
      <c r="H112" s="247"/>
      <c r="I112" s="247"/>
      <c r="J112" s="247"/>
      <c r="K112" s="511"/>
    </row>
    <row r="113">
      <c r="B113" s="512"/>
      <c r="F113" s="482"/>
      <c r="K113" s="513"/>
    </row>
    <row r="114">
      <c r="B114" s="516" t="s">
        <v>312</v>
      </c>
      <c r="F114" s="482"/>
      <c r="K114" s="513"/>
    </row>
    <row r="115">
      <c r="B115" s="512"/>
      <c r="F115" s="482"/>
      <c r="K115" s="513"/>
    </row>
    <row r="116">
      <c r="B116" s="514" t="s">
        <v>313</v>
      </c>
      <c r="C116" s="515"/>
      <c r="F116" s="482"/>
      <c r="K116" s="513"/>
    </row>
    <row r="117">
      <c r="B117" s="516" t="s">
        <v>315</v>
      </c>
      <c r="C117" s="517">
        <v>0.04046016837060842</v>
      </c>
      <c r="F117" s="482"/>
      <c r="K117" s="513"/>
    </row>
    <row r="118">
      <c r="B118" s="516" t="s">
        <v>317</v>
      </c>
      <c r="C118" s="517">
        <v>0.0016370252245779815</v>
      </c>
      <c r="F118" s="482"/>
      <c r="K118" s="513"/>
    </row>
    <row r="119">
      <c r="B119" s="516" t="s">
        <v>319</v>
      </c>
      <c r="C119" s="517">
        <v>-0.08912324520955117</v>
      </c>
      <c r="F119" s="482"/>
      <c r="K119" s="513"/>
    </row>
    <row r="120">
      <c r="B120" s="516" t="s">
        <v>320</v>
      </c>
      <c r="C120" s="517">
        <v>4.40133033899681</v>
      </c>
      <c r="F120" s="482"/>
      <c r="K120" s="513"/>
    </row>
    <row r="121">
      <c r="B121" s="518" t="s">
        <v>322</v>
      </c>
      <c r="C121" s="519">
        <v>13.0</v>
      </c>
      <c r="F121" s="482"/>
      <c r="K121" s="513"/>
    </row>
    <row r="122">
      <c r="B122" s="512"/>
      <c r="F122" s="482"/>
      <c r="K122" s="513"/>
    </row>
    <row r="123">
      <c r="B123" s="520" t="s">
        <v>325</v>
      </c>
      <c r="F123" s="482"/>
      <c r="K123" s="513"/>
    </row>
    <row r="124">
      <c r="B124" s="521"/>
      <c r="C124" s="522" t="s">
        <v>326</v>
      </c>
      <c r="D124" s="522" t="s">
        <v>327</v>
      </c>
      <c r="E124" s="522" t="s">
        <v>328</v>
      </c>
      <c r="F124" s="522" t="s">
        <v>329</v>
      </c>
      <c r="G124" s="522" t="s">
        <v>330</v>
      </c>
      <c r="K124" s="513"/>
    </row>
    <row r="125">
      <c r="B125" s="516" t="s">
        <v>332</v>
      </c>
      <c r="C125" s="517">
        <v>1.0</v>
      </c>
      <c r="D125" s="517">
        <v>0.34940371728851005</v>
      </c>
      <c r="E125" s="517">
        <v>0.34940371728851005</v>
      </c>
      <c r="F125" s="523">
        <v>0.018036804173760496</v>
      </c>
      <c r="G125" s="517">
        <v>0.8955901859509451</v>
      </c>
      <c r="K125" s="513"/>
    </row>
    <row r="126">
      <c r="B126" s="516" t="s">
        <v>334</v>
      </c>
      <c r="C126" s="517">
        <v>11.0</v>
      </c>
      <c r="D126" s="517">
        <v>213.08879628271146</v>
      </c>
      <c r="E126" s="517">
        <v>19.37170875297377</v>
      </c>
      <c r="F126" s="482"/>
      <c r="K126" s="513"/>
    </row>
    <row r="127">
      <c r="B127" s="518" t="s">
        <v>336</v>
      </c>
      <c r="C127" s="519">
        <v>12.0</v>
      </c>
      <c r="D127" s="519">
        <v>213.43819999999997</v>
      </c>
      <c r="E127" s="524"/>
      <c r="F127" s="525"/>
      <c r="G127" s="524"/>
      <c r="K127" s="513"/>
    </row>
    <row r="128">
      <c r="B128" s="512"/>
      <c r="F128" s="482"/>
      <c r="K128" s="513"/>
    </row>
    <row r="129">
      <c r="B129" s="521"/>
      <c r="C129" s="522" t="s">
        <v>337</v>
      </c>
      <c r="D129" s="522" t="s">
        <v>320</v>
      </c>
      <c r="E129" s="522" t="s">
        <v>338</v>
      </c>
      <c r="F129" s="522" t="s">
        <v>339</v>
      </c>
      <c r="G129" s="522" t="s">
        <v>340</v>
      </c>
      <c r="H129" s="522" t="s">
        <v>341</v>
      </c>
      <c r="I129" s="522" t="s">
        <v>340</v>
      </c>
      <c r="J129" s="522" t="s">
        <v>341</v>
      </c>
      <c r="K129" s="513"/>
    </row>
    <row r="130">
      <c r="B130" s="516" t="s">
        <v>345</v>
      </c>
      <c r="C130" s="517">
        <v>5.734519935704691</v>
      </c>
      <c r="D130" s="517">
        <v>2.0103519208543825</v>
      </c>
      <c r="E130" s="517">
        <v>2.852495563695917</v>
      </c>
      <c r="F130" s="523">
        <v>0.015726362353001285</v>
      </c>
      <c r="G130" s="517">
        <v>1.3097652264055446</v>
      </c>
      <c r="H130" s="517">
        <v>10.159274645003837</v>
      </c>
      <c r="I130" s="517">
        <v>1.3097652264055446</v>
      </c>
      <c r="J130" s="517">
        <v>10.159274645003837</v>
      </c>
      <c r="K130" s="513"/>
    </row>
    <row r="131">
      <c r="B131" s="518" t="s">
        <v>625</v>
      </c>
      <c r="C131" s="519">
        <v>-0.014573365197329435</v>
      </c>
      <c r="D131" s="519">
        <v>0.10851257091452693</v>
      </c>
      <c r="E131" s="519">
        <v>-0.1343011696664027</v>
      </c>
      <c r="F131" s="526">
        <v>0.8955901861045081</v>
      </c>
      <c r="G131" s="519">
        <v>-0.25340792157099884</v>
      </c>
      <c r="H131" s="519">
        <v>0.22426119117633997</v>
      </c>
      <c r="I131" s="519">
        <v>-0.25340792157099884</v>
      </c>
      <c r="J131" s="519">
        <v>0.22426119117633997</v>
      </c>
      <c r="K131" s="513"/>
    </row>
    <row r="132">
      <c r="B132" s="512"/>
      <c r="F132" s="482"/>
      <c r="K132" s="513"/>
    </row>
    <row r="133">
      <c r="B133" s="516" t="s">
        <v>626</v>
      </c>
      <c r="F133" s="482"/>
      <c r="K133" s="513"/>
    </row>
    <row r="134">
      <c r="B134" s="512"/>
      <c r="F134" s="482"/>
      <c r="K134" s="513"/>
    </row>
    <row r="135">
      <c r="B135" s="514" t="s">
        <v>627</v>
      </c>
      <c r="C135" s="522" t="s">
        <v>628</v>
      </c>
      <c r="D135" s="522" t="s">
        <v>629</v>
      </c>
      <c r="F135" s="482"/>
      <c r="K135" s="513"/>
    </row>
    <row r="136">
      <c r="B136" s="527">
        <v>1.0</v>
      </c>
      <c r="C136" s="527">
        <v>5.540402711276263</v>
      </c>
      <c r="D136" s="517">
        <v>-3.580402711276263</v>
      </c>
      <c r="F136" s="482"/>
      <c r="K136" s="513"/>
    </row>
    <row r="137">
      <c r="B137" s="528">
        <v>2.0</v>
      </c>
      <c r="C137" s="517">
        <v>5.479486044751426</v>
      </c>
      <c r="D137" s="517">
        <v>-1.3694860447514259</v>
      </c>
      <c r="F137" s="482"/>
      <c r="K137" s="513"/>
    </row>
    <row r="138">
      <c r="B138" s="536">
        <v>3.0</v>
      </c>
      <c r="C138" s="532">
        <v>5.509069976102005</v>
      </c>
      <c r="D138" s="517">
        <v>-3.049069976102005</v>
      </c>
      <c r="F138" s="482"/>
      <c r="K138" s="513"/>
    </row>
    <row r="139">
      <c r="B139" s="528">
        <v>4.0</v>
      </c>
      <c r="C139" s="517">
        <v>5.658884170330551</v>
      </c>
      <c r="D139" s="517">
        <v>-3.888884170330551</v>
      </c>
      <c r="F139" s="57" t="s">
        <v>598</v>
      </c>
      <c r="G139" s="57" t="s">
        <v>630</v>
      </c>
      <c r="H139" s="57" t="s">
        <v>631</v>
      </c>
      <c r="I139" s="57" t="s">
        <v>632</v>
      </c>
      <c r="K139" s="513"/>
    </row>
    <row r="140">
      <c r="B140" s="528">
        <v>5.0</v>
      </c>
      <c r="C140" s="517">
        <v>5.766435605486842</v>
      </c>
      <c r="D140" s="517">
        <v>0.2935643945131572</v>
      </c>
      <c r="F140" s="529">
        <f>E20</f>
        <v>1.96</v>
      </c>
      <c r="G140" s="529">
        <f>C136</f>
        <v>5.540402711</v>
      </c>
      <c r="H140" s="530" t="s">
        <v>637</v>
      </c>
      <c r="I140" s="531">
        <f>(F140-G140)*100/G140</f>
        <v>-64.6235102</v>
      </c>
      <c r="K140" s="513"/>
    </row>
    <row r="141">
      <c r="B141" s="528">
        <v>6.0</v>
      </c>
      <c r="C141" s="517">
        <v>5.426730462737093</v>
      </c>
      <c r="D141" s="517">
        <v>8.943269537262907</v>
      </c>
      <c r="F141" s="482"/>
      <c r="K141" s="513"/>
    </row>
    <row r="142">
      <c r="B142" s="528">
        <v>7.0</v>
      </c>
      <c r="C142" s="517">
        <v>5.388839713224037</v>
      </c>
      <c r="D142" s="517">
        <v>-0.9388397132240369</v>
      </c>
      <c r="F142" s="482"/>
      <c r="K142" s="513"/>
    </row>
    <row r="143">
      <c r="B143" s="528">
        <v>8.0</v>
      </c>
      <c r="C143" s="517">
        <v>5.777948563992733</v>
      </c>
      <c r="D143" s="517">
        <v>1.8820514360072673</v>
      </c>
      <c r="F143" s="482"/>
      <c r="K143" s="513"/>
    </row>
    <row r="144">
      <c r="B144" s="528">
        <v>9.0</v>
      </c>
      <c r="C144" s="517">
        <v>5.5182511961763225</v>
      </c>
      <c r="D144" s="517">
        <v>3.001748803823677</v>
      </c>
      <c r="F144" s="482"/>
      <c r="K144" s="513"/>
    </row>
    <row r="145">
      <c r="B145" s="528">
        <v>10.0</v>
      </c>
      <c r="C145" s="517">
        <v>5.445384370189675</v>
      </c>
      <c r="D145" s="517">
        <v>7.244615629810324</v>
      </c>
      <c r="F145" s="482"/>
      <c r="K145" s="513"/>
    </row>
    <row r="146">
      <c r="B146" s="528">
        <v>11.0</v>
      </c>
      <c r="C146" s="517">
        <v>5.131765551143146</v>
      </c>
      <c r="D146" s="517">
        <v>-3.081765551143146</v>
      </c>
      <c r="F146" s="482"/>
      <c r="K146" s="513"/>
    </row>
    <row r="147">
      <c r="B147" s="528">
        <v>12.0</v>
      </c>
      <c r="C147" s="517">
        <v>5.470304824677108</v>
      </c>
      <c r="D147" s="517">
        <v>-4.070304824677109</v>
      </c>
      <c r="F147" s="482"/>
      <c r="K147" s="513"/>
    </row>
    <row r="148">
      <c r="B148" s="533">
        <v>13.0</v>
      </c>
      <c r="C148" s="519">
        <v>5.646496809912821</v>
      </c>
      <c r="D148" s="519">
        <v>-1.3864968099128214</v>
      </c>
      <c r="F148" s="482"/>
      <c r="K148" s="513"/>
    </row>
    <row r="149">
      <c r="B149" s="534"/>
      <c r="C149" s="524"/>
      <c r="D149" s="524"/>
      <c r="E149" s="524"/>
      <c r="F149" s="525"/>
      <c r="G149" s="524"/>
      <c r="H149" s="524"/>
      <c r="I149" s="524"/>
      <c r="J149" s="524"/>
      <c r="K149" s="535"/>
    </row>
    <row r="150">
      <c r="F150" s="482"/>
    </row>
    <row r="151">
      <c r="B151" s="509" t="s">
        <v>638</v>
      </c>
      <c r="C151" s="247"/>
      <c r="D151" s="247"/>
      <c r="E151" s="247"/>
      <c r="F151" s="510"/>
      <c r="G151" s="247"/>
      <c r="H151" s="247"/>
      <c r="I151" s="247"/>
      <c r="J151" s="247"/>
      <c r="K151" s="511"/>
    </row>
    <row r="152">
      <c r="B152" s="512"/>
      <c r="F152" s="482"/>
      <c r="K152" s="513"/>
    </row>
    <row r="153">
      <c r="B153" s="516" t="s">
        <v>312</v>
      </c>
      <c r="F153" s="482"/>
      <c r="K153" s="513"/>
    </row>
    <row r="154">
      <c r="B154" s="512"/>
      <c r="F154" s="482"/>
      <c r="K154" s="513"/>
    </row>
    <row r="155">
      <c r="B155" s="514" t="s">
        <v>313</v>
      </c>
      <c r="C155" s="515"/>
      <c r="F155" s="482"/>
      <c r="K155" s="513"/>
    </row>
    <row r="156">
      <c r="B156" s="516" t="s">
        <v>315</v>
      </c>
      <c r="C156" s="517">
        <v>0.07768263680083551</v>
      </c>
      <c r="F156" s="482"/>
      <c r="K156" s="513"/>
    </row>
    <row r="157">
      <c r="B157" s="516" t="s">
        <v>317</v>
      </c>
      <c r="C157" s="517">
        <v>0.006034592060330524</v>
      </c>
      <c r="F157" s="482"/>
      <c r="K157" s="513"/>
    </row>
    <row r="158">
      <c r="B158" s="516" t="s">
        <v>319</v>
      </c>
      <c r="C158" s="517">
        <v>-0.08432589957054848</v>
      </c>
      <c r="F158" s="482"/>
      <c r="K158" s="513"/>
    </row>
    <row r="159">
      <c r="B159" s="516" t="s">
        <v>320</v>
      </c>
      <c r="C159" s="517">
        <v>6.493300326592199</v>
      </c>
      <c r="F159" s="482"/>
      <c r="K159" s="513"/>
    </row>
    <row r="160">
      <c r="B160" s="518" t="s">
        <v>322</v>
      </c>
      <c r="C160" s="519">
        <v>13.0</v>
      </c>
      <c r="F160" s="482"/>
      <c r="K160" s="513"/>
    </row>
    <row r="161">
      <c r="B161" s="512"/>
      <c r="F161" s="482"/>
      <c r="K161" s="513"/>
    </row>
    <row r="162">
      <c r="B162" s="520" t="s">
        <v>325</v>
      </c>
      <c r="F162" s="482"/>
      <c r="K162" s="513"/>
    </row>
    <row r="163">
      <c r="B163" s="521"/>
      <c r="C163" s="522" t="s">
        <v>326</v>
      </c>
      <c r="D163" s="522" t="s">
        <v>327</v>
      </c>
      <c r="E163" s="522" t="s">
        <v>328</v>
      </c>
      <c r="F163" s="522" t="s">
        <v>329</v>
      </c>
      <c r="G163" s="522" t="s">
        <v>330</v>
      </c>
      <c r="K163" s="513"/>
    </row>
    <row r="164">
      <c r="B164" s="516" t="s">
        <v>332</v>
      </c>
      <c r="C164" s="517">
        <v>1.0</v>
      </c>
      <c r="D164" s="517">
        <v>2.815790324684883</v>
      </c>
      <c r="E164" s="517">
        <v>2.815790324684883</v>
      </c>
      <c r="F164" s="523">
        <v>0.06678352398725035</v>
      </c>
      <c r="G164" s="517">
        <v>0.8008503911260576</v>
      </c>
      <c r="K164" s="513"/>
    </row>
    <row r="165">
      <c r="B165" s="516" t="s">
        <v>334</v>
      </c>
      <c r="C165" s="517">
        <v>11.0</v>
      </c>
      <c r="D165" s="517">
        <v>463.792440444546</v>
      </c>
      <c r="E165" s="517">
        <v>42.162949131322364</v>
      </c>
      <c r="F165" s="482"/>
      <c r="K165" s="513"/>
    </row>
    <row r="166">
      <c r="B166" s="518" t="s">
        <v>336</v>
      </c>
      <c r="C166" s="519">
        <v>12.0</v>
      </c>
      <c r="D166" s="519">
        <v>466.6082307692309</v>
      </c>
      <c r="E166" s="524"/>
      <c r="F166" s="525"/>
      <c r="G166" s="524"/>
      <c r="K166" s="513"/>
    </row>
    <row r="167">
      <c r="B167" s="512"/>
      <c r="F167" s="482"/>
      <c r="K167" s="513"/>
    </row>
    <row r="168">
      <c r="B168" s="521"/>
      <c r="C168" s="522" t="s">
        <v>337</v>
      </c>
      <c r="D168" s="522" t="s">
        <v>320</v>
      </c>
      <c r="E168" s="522" t="s">
        <v>338</v>
      </c>
      <c r="F168" s="522" t="s">
        <v>339</v>
      </c>
      <c r="G168" s="522" t="s">
        <v>340</v>
      </c>
      <c r="H168" s="522" t="s">
        <v>341</v>
      </c>
      <c r="I168" s="522" t="s">
        <v>340</v>
      </c>
      <c r="J168" s="522" t="s">
        <v>341</v>
      </c>
      <c r="K168" s="513"/>
    </row>
    <row r="169">
      <c r="B169" s="516" t="s">
        <v>345</v>
      </c>
      <c r="C169" s="517">
        <v>0.5666737434053829</v>
      </c>
      <c r="D169" s="517">
        <v>2.9658802631988674</v>
      </c>
      <c r="E169" s="517">
        <v>0.19106426865466025</v>
      </c>
      <c r="F169" s="523">
        <v>0.8519560770894727</v>
      </c>
      <c r="G169" s="517">
        <v>-5.961184650775319</v>
      </c>
      <c r="H169" s="517">
        <v>7.094532137586086</v>
      </c>
      <c r="I169" s="517">
        <v>-5.961184650775319</v>
      </c>
      <c r="J169" s="517">
        <v>7.094532137586086</v>
      </c>
      <c r="K169" s="513"/>
    </row>
    <row r="170">
      <c r="B170" s="518" t="s">
        <v>625</v>
      </c>
      <c r="C170" s="519">
        <v>-0.041371021447899135</v>
      </c>
      <c r="D170" s="519">
        <v>0.1600890316992786</v>
      </c>
      <c r="E170" s="519">
        <v>-0.25842508389714725</v>
      </c>
      <c r="F170" s="526">
        <v>0.8008503911884385</v>
      </c>
      <c r="G170" s="519">
        <v>-0.39372460171929685</v>
      </c>
      <c r="H170" s="519">
        <v>0.3109825588234986</v>
      </c>
      <c r="I170" s="519">
        <v>-0.39372460171929685</v>
      </c>
      <c r="J170" s="519">
        <v>0.3109825588234986</v>
      </c>
      <c r="K170" s="513"/>
    </row>
    <row r="171">
      <c r="B171" s="512"/>
      <c r="F171" s="482"/>
      <c r="K171" s="513"/>
    </row>
    <row r="172">
      <c r="B172" s="512"/>
      <c r="F172" s="482"/>
      <c r="K172" s="513"/>
    </row>
    <row r="173">
      <c r="B173" s="512"/>
      <c r="F173" s="482"/>
      <c r="K173" s="513"/>
    </row>
    <row r="174">
      <c r="B174" s="516" t="s">
        <v>626</v>
      </c>
      <c r="F174" s="482"/>
      <c r="K174" s="513"/>
    </row>
    <row r="175">
      <c r="B175" s="512"/>
      <c r="F175" s="482"/>
      <c r="K175" s="513"/>
    </row>
    <row r="176">
      <c r="B176" s="514" t="s">
        <v>627</v>
      </c>
      <c r="C176" s="522" t="s">
        <v>628</v>
      </c>
      <c r="D176" s="522" t="s">
        <v>629</v>
      </c>
      <c r="F176" s="482"/>
      <c r="K176" s="513"/>
    </row>
    <row r="177">
      <c r="B177" s="527">
        <v>1.0</v>
      </c>
      <c r="C177" s="527">
        <v>0.015611737719366414</v>
      </c>
      <c r="D177" s="517">
        <v>0.7343882622806336</v>
      </c>
      <c r="F177" s="482"/>
      <c r="K177" s="513"/>
    </row>
    <row r="178">
      <c r="B178" s="528">
        <v>2.0</v>
      </c>
      <c r="C178" s="517">
        <v>-0.15731913193285196</v>
      </c>
      <c r="D178" s="517">
        <v>0.437319131932852</v>
      </c>
      <c r="F178" s="482"/>
      <c r="K178" s="513"/>
    </row>
    <row r="179">
      <c r="B179" s="536">
        <v>3.0</v>
      </c>
      <c r="C179" s="532">
        <v>-0.07333595839361673</v>
      </c>
      <c r="D179" s="517">
        <v>1.7233359583936165</v>
      </c>
      <c r="F179" s="537" t="s">
        <v>598</v>
      </c>
      <c r="G179" s="537" t="s">
        <v>630</v>
      </c>
      <c r="H179" s="537" t="s">
        <v>631</v>
      </c>
      <c r="I179" s="57" t="s">
        <v>632</v>
      </c>
      <c r="K179" s="513"/>
    </row>
    <row r="180">
      <c r="B180" s="528">
        <v>4.0</v>
      </c>
      <c r="C180" s="517">
        <v>0.35195814209078635</v>
      </c>
      <c r="D180" s="517">
        <v>0.4280418579092137</v>
      </c>
      <c r="F180" s="538">
        <f>F20</f>
        <v>0.75</v>
      </c>
      <c r="G180" s="538">
        <f>C177</f>
        <v>0.01561173772</v>
      </c>
      <c r="H180" s="539" t="s">
        <v>639</v>
      </c>
      <c r="I180" s="540">
        <f>(F180-G180)*100/G180</f>
        <v>4704.077634</v>
      </c>
      <c r="K180" s="513"/>
    </row>
    <row r="181">
      <c r="B181" s="528">
        <v>5.0</v>
      </c>
      <c r="C181" s="517">
        <v>0.657276280376282</v>
      </c>
      <c r="D181" s="517">
        <v>1.192723719623718</v>
      </c>
      <c r="F181" s="482"/>
      <c r="K181" s="513"/>
    </row>
    <row r="182">
      <c r="B182" s="528">
        <v>6.0</v>
      </c>
      <c r="C182" s="517">
        <v>-0.3070822295742469</v>
      </c>
      <c r="D182" s="517">
        <v>1.0670822295742468</v>
      </c>
      <c r="F182" s="482"/>
      <c r="K182" s="513"/>
    </row>
    <row r="183">
      <c r="B183" s="528">
        <v>7.0</v>
      </c>
      <c r="C183" s="517">
        <v>-0.4146468853387846</v>
      </c>
      <c r="D183" s="517">
        <v>2.2546468853387847</v>
      </c>
      <c r="F183" s="482"/>
      <c r="K183" s="513"/>
    </row>
    <row r="184">
      <c r="B184" s="528">
        <v>8.0</v>
      </c>
      <c r="C184" s="517">
        <v>0.6899593873201223</v>
      </c>
      <c r="D184" s="517">
        <v>3.460040612679878</v>
      </c>
      <c r="F184" s="482"/>
      <c r="K184" s="513"/>
    </row>
    <row r="185">
      <c r="B185" s="528">
        <v>9.0</v>
      </c>
      <c r="C185" s="517">
        <v>-0.04727221488144029</v>
      </c>
      <c r="D185" s="517">
        <v>-18.41272778511856</v>
      </c>
      <c r="F185" s="482"/>
      <c r="K185" s="513"/>
    </row>
    <row r="186">
      <c r="B186" s="528">
        <v>10.0</v>
      </c>
      <c r="C186" s="517">
        <v>-0.2541273221209359</v>
      </c>
      <c r="D186" s="517">
        <v>-4.315872677879065</v>
      </c>
      <c r="F186" s="482"/>
      <c r="K186" s="513"/>
    </row>
    <row r="187">
      <c r="B187" s="528">
        <v>11.0</v>
      </c>
      <c r="C187" s="517">
        <v>-1.1444317036797251</v>
      </c>
      <c r="D187" s="517">
        <v>2.084431703679725</v>
      </c>
      <c r="F187" s="482"/>
      <c r="K187" s="513"/>
    </row>
    <row r="188">
      <c r="B188" s="528">
        <v>12.0</v>
      </c>
      <c r="C188" s="517">
        <v>-0.1833828754450284</v>
      </c>
      <c r="D188" s="517">
        <v>8.833382875445029</v>
      </c>
      <c r="F188" s="482"/>
      <c r="K188" s="513"/>
    </row>
    <row r="189">
      <c r="B189" s="533">
        <v>13.0</v>
      </c>
      <c r="C189" s="519">
        <v>0.3167927738600721</v>
      </c>
      <c r="D189" s="519">
        <v>0.5132072261399279</v>
      </c>
      <c r="F189" s="482"/>
      <c r="K189" s="513"/>
    </row>
    <row r="190">
      <c r="B190" s="534"/>
      <c r="C190" s="524"/>
      <c r="D190" s="524"/>
      <c r="E190" s="524"/>
      <c r="F190" s="525"/>
      <c r="G190" s="524"/>
      <c r="H190" s="524"/>
      <c r="I190" s="524"/>
      <c r="J190" s="524"/>
      <c r="K190" s="535"/>
    </row>
    <row r="191">
      <c r="F191" s="482"/>
    </row>
    <row r="192">
      <c r="B192" s="541" t="s">
        <v>640</v>
      </c>
      <c r="C192" s="541" t="s">
        <v>641</v>
      </c>
      <c r="D192" s="541" t="s">
        <v>464</v>
      </c>
      <c r="E192" s="541" t="s">
        <v>642</v>
      </c>
      <c r="F192" s="542" t="s">
        <v>643</v>
      </c>
      <c r="G192" s="8"/>
    </row>
    <row r="193">
      <c r="B193" s="541" t="s">
        <v>644</v>
      </c>
      <c r="C193" s="541" t="s">
        <v>645</v>
      </c>
      <c r="D193" s="543">
        <f>C33</f>
        <v>23.845</v>
      </c>
      <c r="E193" s="541" t="s">
        <v>646</v>
      </c>
      <c r="F193" s="11"/>
      <c r="G193" s="12"/>
    </row>
    <row r="194">
      <c r="B194" s="541" t="s">
        <v>587</v>
      </c>
      <c r="C194" s="541" t="s">
        <v>647</v>
      </c>
      <c r="D194" s="543">
        <f>D33</f>
        <v>2.86</v>
      </c>
      <c r="E194" s="541" t="s">
        <v>646</v>
      </c>
      <c r="F194" s="11"/>
      <c r="G194" s="12"/>
    </row>
    <row r="195">
      <c r="B195" s="541" t="s">
        <v>588</v>
      </c>
      <c r="C195" s="541" t="s">
        <v>648</v>
      </c>
      <c r="D195" s="543">
        <f>E33</f>
        <v>4.355</v>
      </c>
      <c r="E195" s="541" t="s">
        <v>649</v>
      </c>
      <c r="F195" s="11"/>
      <c r="G195" s="12"/>
    </row>
    <row r="196">
      <c r="B196" s="541" t="s">
        <v>589</v>
      </c>
      <c r="C196" s="541" t="s">
        <v>650</v>
      </c>
      <c r="D196" s="543">
        <f>F33</f>
        <v>0.83</v>
      </c>
      <c r="E196" s="541" t="s">
        <v>651</v>
      </c>
      <c r="F196" s="11"/>
      <c r="G196" s="12"/>
    </row>
    <row r="197">
      <c r="B197" s="5"/>
      <c r="C197" s="5"/>
      <c r="D197" s="5"/>
      <c r="E197" s="5"/>
      <c r="F197" s="14"/>
      <c r="G197" s="16"/>
    </row>
    <row r="198">
      <c r="F198" s="482"/>
    </row>
    <row r="199">
      <c r="B199" s="541" t="s">
        <v>640</v>
      </c>
      <c r="C199" s="541" t="s">
        <v>641</v>
      </c>
      <c r="D199" s="541" t="s">
        <v>186</v>
      </c>
      <c r="E199" s="541" t="s">
        <v>642</v>
      </c>
      <c r="F199" s="542" t="s">
        <v>643</v>
      </c>
      <c r="G199" s="8"/>
    </row>
    <row r="200">
      <c r="B200" s="541" t="s">
        <v>644</v>
      </c>
      <c r="C200" s="541" t="s">
        <v>645</v>
      </c>
      <c r="D200" s="543">
        <f>C32</f>
        <v>33.42666667</v>
      </c>
      <c r="E200" s="541" t="s">
        <v>652</v>
      </c>
      <c r="F200" s="11"/>
      <c r="G200" s="12"/>
    </row>
    <row r="201">
      <c r="B201" s="541" t="s">
        <v>587</v>
      </c>
      <c r="C201" s="541" t="s">
        <v>647</v>
      </c>
      <c r="D201" s="543">
        <f>D32</f>
        <v>3.7025</v>
      </c>
      <c r="E201" s="541" t="s">
        <v>653</v>
      </c>
      <c r="F201" s="11"/>
      <c r="G201" s="12"/>
    </row>
    <row r="202">
      <c r="B202" s="541" t="s">
        <v>588</v>
      </c>
      <c r="C202" s="541" t="s">
        <v>648</v>
      </c>
      <c r="D202" s="543">
        <f>E32</f>
        <v>5.775</v>
      </c>
      <c r="E202" s="541" t="s">
        <v>649</v>
      </c>
      <c r="F202" s="11"/>
      <c r="G202" s="12"/>
    </row>
    <row r="203">
      <c r="B203" s="541" t="s">
        <v>589</v>
      </c>
      <c r="C203" s="541" t="s">
        <v>650</v>
      </c>
      <c r="D203" s="543">
        <f>F32</f>
        <v>-0.04230769231</v>
      </c>
      <c r="E203" s="541" t="s">
        <v>646</v>
      </c>
      <c r="F203" s="11"/>
      <c r="G203" s="12"/>
    </row>
    <row r="204">
      <c r="B204" s="5"/>
      <c r="C204" s="5"/>
      <c r="D204" s="5"/>
      <c r="E204" s="5"/>
      <c r="F204" s="14"/>
      <c r="G204" s="16"/>
    </row>
    <row r="205">
      <c r="F205" s="482"/>
    </row>
    <row r="206">
      <c r="F206" s="482"/>
    </row>
    <row r="207">
      <c r="C207" s="544"/>
      <c r="D207" s="544"/>
      <c r="E207" s="544"/>
      <c r="F207" s="545"/>
    </row>
    <row r="208">
      <c r="F208" s="482"/>
    </row>
    <row r="209">
      <c r="F209" s="482"/>
    </row>
    <row r="210">
      <c r="F210" s="482"/>
    </row>
    <row r="211">
      <c r="F211" s="482"/>
    </row>
    <row r="212">
      <c r="F212" s="482"/>
    </row>
    <row r="213">
      <c r="F213" s="482"/>
    </row>
    <row r="214">
      <c r="F214" s="482"/>
    </row>
    <row r="215">
      <c r="F215" s="482"/>
    </row>
    <row r="216">
      <c r="F216" s="482"/>
    </row>
    <row r="217">
      <c r="F217" s="482"/>
    </row>
    <row r="218">
      <c r="F218" s="482"/>
    </row>
    <row r="219">
      <c r="F219" s="482"/>
    </row>
    <row r="220">
      <c r="F220" s="482"/>
    </row>
    <row r="221">
      <c r="F221" s="482"/>
    </row>
    <row r="222">
      <c r="F222" s="482"/>
    </row>
    <row r="223">
      <c r="F223" s="482"/>
    </row>
    <row r="224">
      <c r="F224" s="482"/>
    </row>
    <row r="225">
      <c r="F225" s="482"/>
    </row>
    <row r="226">
      <c r="F226" s="482"/>
    </row>
    <row r="227">
      <c r="F227" s="482"/>
    </row>
    <row r="228">
      <c r="F228" s="482"/>
    </row>
    <row r="229">
      <c r="F229" s="482"/>
    </row>
    <row r="230">
      <c r="F230" s="482"/>
    </row>
    <row r="231">
      <c r="F231" s="482"/>
    </row>
    <row r="232">
      <c r="F232" s="482"/>
    </row>
    <row r="233">
      <c r="F233" s="482"/>
    </row>
    <row r="234">
      <c r="F234" s="482"/>
    </row>
    <row r="235">
      <c r="F235" s="482"/>
    </row>
    <row r="236">
      <c r="F236" s="482"/>
    </row>
    <row r="237">
      <c r="F237" s="482"/>
    </row>
    <row r="238">
      <c r="F238" s="482"/>
    </row>
    <row r="239">
      <c r="F239" s="482"/>
    </row>
    <row r="240">
      <c r="F240" s="482"/>
    </row>
    <row r="241">
      <c r="F241" s="482"/>
    </row>
    <row r="242">
      <c r="F242" s="482"/>
    </row>
    <row r="243">
      <c r="F243" s="482"/>
    </row>
    <row r="244">
      <c r="F244" s="482"/>
    </row>
    <row r="245">
      <c r="F245" s="482"/>
    </row>
    <row r="246">
      <c r="F246" s="482"/>
    </row>
    <row r="247">
      <c r="F247" s="482"/>
    </row>
    <row r="248">
      <c r="F248" s="482"/>
    </row>
    <row r="249">
      <c r="F249" s="482"/>
    </row>
    <row r="250">
      <c r="F250" s="482"/>
    </row>
    <row r="251">
      <c r="F251" s="482"/>
    </row>
    <row r="252">
      <c r="F252" s="482"/>
    </row>
    <row r="253">
      <c r="F253" s="482"/>
    </row>
    <row r="254">
      <c r="F254" s="482"/>
    </row>
    <row r="255">
      <c r="F255" s="482"/>
    </row>
    <row r="256">
      <c r="F256" s="482"/>
    </row>
    <row r="257">
      <c r="F257" s="482"/>
    </row>
    <row r="258">
      <c r="F258" s="482"/>
    </row>
    <row r="259">
      <c r="F259" s="482"/>
    </row>
    <row r="260">
      <c r="F260" s="482"/>
    </row>
    <row r="261">
      <c r="F261" s="482"/>
    </row>
    <row r="262">
      <c r="F262" s="482"/>
    </row>
    <row r="263">
      <c r="F263" s="482"/>
    </row>
    <row r="264">
      <c r="F264" s="482"/>
    </row>
    <row r="265">
      <c r="F265" s="482"/>
    </row>
    <row r="266">
      <c r="F266" s="482"/>
    </row>
    <row r="267">
      <c r="F267" s="482"/>
    </row>
    <row r="268">
      <c r="F268" s="482"/>
    </row>
    <row r="269">
      <c r="F269" s="482"/>
    </row>
    <row r="270">
      <c r="F270" s="482"/>
    </row>
    <row r="271">
      <c r="F271" s="482"/>
    </row>
    <row r="272">
      <c r="F272" s="482"/>
    </row>
    <row r="273">
      <c r="F273" s="482"/>
    </row>
    <row r="274">
      <c r="F274" s="482"/>
    </row>
    <row r="275">
      <c r="F275" s="482"/>
    </row>
    <row r="276">
      <c r="F276" s="482"/>
    </row>
    <row r="277">
      <c r="F277" s="482"/>
    </row>
    <row r="278">
      <c r="F278" s="482"/>
    </row>
    <row r="279">
      <c r="F279" s="482"/>
    </row>
    <row r="280">
      <c r="F280" s="482"/>
    </row>
    <row r="281">
      <c r="F281" s="482"/>
    </row>
    <row r="282">
      <c r="F282" s="482"/>
    </row>
    <row r="283">
      <c r="F283" s="482"/>
    </row>
    <row r="284">
      <c r="F284" s="482"/>
    </row>
    <row r="285">
      <c r="F285" s="482"/>
    </row>
    <row r="286">
      <c r="F286" s="482"/>
    </row>
    <row r="287">
      <c r="F287" s="482"/>
    </row>
    <row r="288">
      <c r="F288" s="482"/>
    </row>
    <row r="289">
      <c r="F289" s="482"/>
    </row>
    <row r="290">
      <c r="F290" s="482"/>
    </row>
    <row r="291">
      <c r="F291" s="482"/>
    </row>
    <row r="292">
      <c r="F292" s="482"/>
    </row>
    <row r="293">
      <c r="F293" s="482"/>
    </row>
    <row r="294">
      <c r="F294" s="482"/>
    </row>
    <row r="295">
      <c r="F295" s="482"/>
    </row>
    <row r="296">
      <c r="F296" s="482"/>
    </row>
    <row r="297">
      <c r="F297" s="482"/>
    </row>
    <row r="298">
      <c r="F298" s="482"/>
    </row>
    <row r="299">
      <c r="F299" s="482"/>
    </row>
    <row r="300">
      <c r="F300" s="482"/>
    </row>
    <row r="301">
      <c r="F301" s="482"/>
    </row>
    <row r="302">
      <c r="F302" s="482"/>
    </row>
    <row r="303">
      <c r="F303" s="482"/>
    </row>
    <row r="304">
      <c r="F304" s="482"/>
    </row>
    <row r="305">
      <c r="F305" s="482"/>
    </row>
    <row r="306">
      <c r="F306" s="482"/>
    </row>
    <row r="307">
      <c r="F307" s="482"/>
    </row>
    <row r="308">
      <c r="F308" s="482"/>
    </row>
    <row r="309">
      <c r="F309" s="482"/>
    </row>
    <row r="310">
      <c r="F310" s="482"/>
    </row>
    <row r="311">
      <c r="F311" s="482"/>
    </row>
    <row r="312">
      <c r="F312" s="482"/>
    </row>
    <row r="313">
      <c r="F313" s="482"/>
    </row>
    <row r="314">
      <c r="F314" s="482"/>
    </row>
    <row r="315">
      <c r="F315" s="482"/>
    </row>
    <row r="316">
      <c r="F316" s="482"/>
    </row>
    <row r="317">
      <c r="F317" s="482"/>
    </row>
    <row r="318">
      <c r="F318" s="482"/>
    </row>
    <row r="319">
      <c r="F319" s="482"/>
    </row>
    <row r="320">
      <c r="F320" s="482"/>
    </row>
    <row r="321">
      <c r="F321" s="482"/>
    </row>
    <row r="322">
      <c r="F322" s="482"/>
    </row>
    <row r="323">
      <c r="F323" s="482"/>
    </row>
    <row r="324">
      <c r="F324" s="482"/>
    </row>
    <row r="325">
      <c r="F325" s="482"/>
    </row>
    <row r="326">
      <c r="F326" s="482"/>
    </row>
    <row r="327">
      <c r="F327" s="482"/>
    </row>
    <row r="328">
      <c r="F328" s="482"/>
    </row>
    <row r="329">
      <c r="F329" s="482"/>
    </row>
    <row r="330">
      <c r="F330" s="482"/>
    </row>
    <row r="331">
      <c r="F331" s="482"/>
    </row>
    <row r="332">
      <c r="F332" s="482"/>
    </row>
    <row r="333">
      <c r="F333" s="482"/>
    </row>
    <row r="334">
      <c r="F334" s="482"/>
    </row>
    <row r="335">
      <c r="F335" s="482"/>
    </row>
    <row r="336">
      <c r="F336" s="482"/>
    </row>
    <row r="337">
      <c r="F337" s="482"/>
    </row>
    <row r="338">
      <c r="F338" s="482"/>
    </row>
    <row r="339">
      <c r="F339" s="482"/>
    </row>
    <row r="340">
      <c r="F340" s="482"/>
    </row>
    <row r="341">
      <c r="F341" s="482"/>
    </row>
    <row r="342">
      <c r="F342" s="482"/>
    </row>
    <row r="343">
      <c r="F343" s="482"/>
    </row>
    <row r="344">
      <c r="F344" s="482"/>
    </row>
    <row r="345">
      <c r="F345" s="482"/>
    </row>
    <row r="346">
      <c r="F346" s="482"/>
    </row>
    <row r="347">
      <c r="F347" s="482"/>
    </row>
    <row r="348">
      <c r="F348" s="482"/>
    </row>
    <row r="349">
      <c r="F349" s="482"/>
    </row>
    <row r="350">
      <c r="F350" s="482"/>
    </row>
    <row r="351">
      <c r="F351" s="482"/>
    </row>
    <row r="352">
      <c r="F352" s="482"/>
    </row>
    <row r="353">
      <c r="F353" s="482"/>
    </row>
    <row r="354">
      <c r="F354" s="482"/>
    </row>
    <row r="355">
      <c r="F355" s="482"/>
    </row>
    <row r="356">
      <c r="F356" s="482"/>
    </row>
    <row r="357">
      <c r="F357" s="482"/>
    </row>
    <row r="358">
      <c r="F358" s="482"/>
    </row>
    <row r="359">
      <c r="F359" s="482"/>
    </row>
    <row r="360">
      <c r="F360" s="482"/>
    </row>
    <row r="361">
      <c r="F361" s="482"/>
    </row>
    <row r="362">
      <c r="F362" s="482"/>
    </row>
    <row r="363">
      <c r="F363" s="482"/>
    </row>
    <row r="364">
      <c r="F364" s="482"/>
    </row>
    <row r="365">
      <c r="F365" s="482"/>
    </row>
    <row r="366">
      <c r="F366" s="482"/>
    </row>
    <row r="367">
      <c r="F367" s="482"/>
    </row>
    <row r="368">
      <c r="F368" s="482"/>
    </row>
    <row r="369">
      <c r="F369" s="482"/>
    </row>
    <row r="370">
      <c r="F370" s="482"/>
    </row>
    <row r="371">
      <c r="F371" s="482"/>
    </row>
    <row r="372">
      <c r="F372" s="482"/>
    </row>
    <row r="373">
      <c r="F373" s="482"/>
    </row>
    <row r="374">
      <c r="F374" s="482"/>
    </row>
    <row r="375">
      <c r="F375" s="482"/>
    </row>
    <row r="376">
      <c r="F376" s="482"/>
    </row>
    <row r="377">
      <c r="F377" s="482"/>
    </row>
    <row r="378">
      <c r="F378" s="482"/>
    </row>
    <row r="379">
      <c r="F379" s="482"/>
    </row>
    <row r="380">
      <c r="F380" s="482"/>
    </row>
    <row r="381">
      <c r="F381" s="482"/>
    </row>
    <row r="382">
      <c r="F382" s="482"/>
    </row>
    <row r="383">
      <c r="F383" s="482"/>
    </row>
    <row r="384">
      <c r="F384" s="482"/>
    </row>
    <row r="385">
      <c r="F385" s="482"/>
    </row>
    <row r="386">
      <c r="F386" s="482"/>
    </row>
    <row r="387">
      <c r="F387" s="482"/>
    </row>
    <row r="388">
      <c r="F388" s="482"/>
    </row>
    <row r="389">
      <c r="F389" s="482"/>
    </row>
    <row r="390">
      <c r="F390" s="482"/>
    </row>
    <row r="391">
      <c r="F391" s="482"/>
    </row>
    <row r="392">
      <c r="F392" s="482"/>
    </row>
    <row r="393">
      <c r="F393" s="482"/>
    </row>
    <row r="394">
      <c r="F394" s="482"/>
    </row>
    <row r="395">
      <c r="F395" s="482"/>
    </row>
    <row r="396">
      <c r="F396" s="482"/>
    </row>
    <row r="397">
      <c r="F397" s="482"/>
    </row>
    <row r="398">
      <c r="F398" s="482"/>
    </row>
    <row r="399">
      <c r="F399" s="482"/>
    </row>
    <row r="400">
      <c r="F400" s="482"/>
    </row>
    <row r="401">
      <c r="F401" s="482"/>
    </row>
    <row r="402">
      <c r="F402" s="482"/>
    </row>
    <row r="403">
      <c r="F403" s="482"/>
    </row>
    <row r="404">
      <c r="F404" s="482"/>
    </row>
    <row r="405">
      <c r="F405" s="482"/>
    </row>
    <row r="406">
      <c r="F406" s="482"/>
    </row>
    <row r="407">
      <c r="F407" s="482"/>
    </row>
    <row r="408">
      <c r="F408" s="482"/>
    </row>
    <row r="409">
      <c r="F409" s="482"/>
    </row>
    <row r="410">
      <c r="F410" s="482"/>
    </row>
    <row r="411">
      <c r="F411" s="482"/>
    </row>
    <row r="412">
      <c r="F412" s="482"/>
    </row>
    <row r="413">
      <c r="F413" s="482"/>
    </row>
    <row r="414">
      <c r="F414" s="482"/>
    </row>
    <row r="415">
      <c r="F415" s="482"/>
    </row>
    <row r="416">
      <c r="F416" s="482"/>
    </row>
    <row r="417">
      <c r="F417" s="482"/>
    </row>
    <row r="418">
      <c r="F418" s="482"/>
    </row>
    <row r="419">
      <c r="F419" s="482"/>
    </row>
    <row r="420">
      <c r="F420" s="482"/>
    </row>
    <row r="421">
      <c r="F421" s="482"/>
    </row>
    <row r="422">
      <c r="F422" s="482"/>
    </row>
    <row r="423">
      <c r="F423" s="482"/>
    </row>
    <row r="424">
      <c r="F424" s="482"/>
    </row>
    <row r="425">
      <c r="F425" s="482"/>
    </row>
    <row r="426">
      <c r="F426" s="482"/>
    </row>
    <row r="427">
      <c r="F427" s="482"/>
    </row>
    <row r="428">
      <c r="F428" s="482"/>
    </row>
    <row r="429">
      <c r="F429" s="482"/>
    </row>
    <row r="430">
      <c r="F430" s="482"/>
    </row>
    <row r="431">
      <c r="F431" s="482"/>
    </row>
    <row r="432">
      <c r="F432" s="482"/>
    </row>
    <row r="433">
      <c r="F433" s="482"/>
    </row>
    <row r="434">
      <c r="F434" s="482"/>
    </row>
    <row r="435">
      <c r="F435" s="482"/>
    </row>
    <row r="436">
      <c r="F436" s="482"/>
    </row>
    <row r="437">
      <c r="F437" s="482"/>
    </row>
    <row r="438">
      <c r="F438" s="482"/>
    </row>
    <row r="439">
      <c r="F439" s="482"/>
    </row>
    <row r="440">
      <c r="F440" s="482"/>
    </row>
    <row r="441">
      <c r="F441" s="482"/>
    </row>
    <row r="442">
      <c r="F442" s="482"/>
    </row>
    <row r="443">
      <c r="F443" s="482"/>
    </row>
    <row r="444">
      <c r="F444" s="482"/>
    </row>
    <row r="445">
      <c r="F445" s="482"/>
    </row>
    <row r="446">
      <c r="F446" s="482"/>
    </row>
    <row r="447">
      <c r="F447" s="482"/>
    </row>
    <row r="448">
      <c r="F448" s="482"/>
    </row>
    <row r="449">
      <c r="F449" s="482"/>
    </row>
    <row r="450">
      <c r="F450" s="482"/>
    </row>
    <row r="451">
      <c r="F451" s="482"/>
    </row>
    <row r="452">
      <c r="F452" s="482"/>
    </row>
    <row r="453">
      <c r="F453" s="482"/>
    </row>
    <row r="454">
      <c r="F454" s="482"/>
    </row>
    <row r="455">
      <c r="F455" s="482"/>
    </row>
    <row r="456">
      <c r="F456" s="482"/>
    </row>
    <row r="457">
      <c r="F457" s="482"/>
    </row>
    <row r="458">
      <c r="F458" s="482"/>
    </row>
    <row r="459">
      <c r="F459" s="482"/>
    </row>
    <row r="460">
      <c r="F460" s="482"/>
    </row>
    <row r="461">
      <c r="F461" s="482"/>
    </row>
    <row r="462">
      <c r="F462" s="482"/>
    </row>
    <row r="463">
      <c r="F463" s="482"/>
    </row>
    <row r="464">
      <c r="F464" s="482"/>
    </row>
    <row r="465">
      <c r="F465" s="482"/>
    </row>
    <row r="466">
      <c r="F466" s="482"/>
    </row>
    <row r="467">
      <c r="F467" s="482"/>
    </row>
    <row r="468">
      <c r="F468" s="482"/>
    </row>
    <row r="469">
      <c r="F469" s="482"/>
    </row>
    <row r="470">
      <c r="F470" s="482"/>
    </row>
    <row r="471">
      <c r="F471" s="482"/>
    </row>
    <row r="472">
      <c r="F472" s="482"/>
    </row>
    <row r="473">
      <c r="F473" s="482"/>
    </row>
    <row r="474">
      <c r="F474" s="482"/>
    </row>
    <row r="475">
      <c r="F475" s="482"/>
    </row>
    <row r="476">
      <c r="F476" s="482"/>
    </row>
    <row r="477">
      <c r="F477" s="482"/>
    </row>
    <row r="478">
      <c r="F478" s="482"/>
    </row>
    <row r="479">
      <c r="F479" s="482"/>
    </row>
    <row r="480">
      <c r="F480" s="482"/>
    </row>
    <row r="481">
      <c r="F481" s="482"/>
    </row>
    <row r="482">
      <c r="F482" s="482"/>
    </row>
    <row r="483">
      <c r="F483" s="482"/>
    </row>
    <row r="484">
      <c r="F484" s="482"/>
    </row>
    <row r="485">
      <c r="F485" s="482"/>
    </row>
    <row r="486">
      <c r="F486" s="482"/>
    </row>
    <row r="487">
      <c r="F487" s="482"/>
    </row>
    <row r="488">
      <c r="F488" s="482"/>
    </row>
    <row r="489">
      <c r="F489" s="482"/>
    </row>
    <row r="490">
      <c r="F490" s="482"/>
    </row>
    <row r="491">
      <c r="F491" s="482"/>
    </row>
    <row r="492">
      <c r="F492" s="482"/>
    </row>
    <row r="493">
      <c r="F493" s="482"/>
    </row>
    <row r="494">
      <c r="F494" s="482"/>
    </row>
    <row r="495">
      <c r="F495" s="482"/>
    </row>
    <row r="496">
      <c r="F496" s="482"/>
    </row>
    <row r="497">
      <c r="F497" s="482"/>
    </row>
    <row r="498">
      <c r="F498" s="482"/>
    </row>
    <row r="499">
      <c r="F499" s="482"/>
    </row>
    <row r="500">
      <c r="F500" s="482"/>
    </row>
    <row r="501">
      <c r="F501" s="482"/>
    </row>
    <row r="502">
      <c r="F502" s="482"/>
    </row>
    <row r="503">
      <c r="F503" s="482"/>
    </row>
    <row r="504">
      <c r="F504" s="482"/>
    </row>
    <row r="505">
      <c r="F505" s="482"/>
    </row>
    <row r="506">
      <c r="F506" s="482"/>
    </row>
    <row r="507">
      <c r="F507" s="482"/>
    </row>
    <row r="508">
      <c r="F508" s="482"/>
    </row>
    <row r="509">
      <c r="F509" s="482"/>
    </row>
    <row r="510">
      <c r="F510" s="482"/>
    </row>
    <row r="511">
      <c r="F511" s="482"/>
    </row>
    <row r="512">
      <c r="F512" s="482"/>
    </row>
    <row r="513">
      <c r="F513" s="482"/>
    </row>
    <row r="514">
      <c r="F514" s="482"/>
    </row>
    <row r="515">
      <c r="F515" s="482"/>
    </row>
    <row r="516">
      <c r="F516" s="482"/>
    </row>
    <row r="517">
      <c r="F517" s="482"/>
    </row>
    <row r="518">
      <c r="F518" s="482"/>
    </row>
    <row r="519">
      <c r="F519" s="482"/>
    </row>
    <row r="520">
      <c r="F520" s="482"/>
    </row>
    <row r="521">
      <c r="F521" s="482"/>
    </row>
    <row r="522">
      <c r="F522" s="482"/>
    </row>
    <row r="523">
      <c r="F523" s="482"/>
    </row>
    <row r="524">
      <c r="F524" s="482"/>
    </row>
    <row r="525">
      <c r="F525" s="482"/>
    </row>
    <row r="526">
      <c r="F526" s="482"/>
    </row>
    <row r="527">
      <c r="F527" s="482"/>
    </row>
    <row r="528">
      <c r="F528" s="482"/>
    </row>
    <row r="529">
      <c r="F529" s="482"/>
    </row>
    <row r="530">
      <c r="F530" s="482"/>
    </row>
    <row r="531">
      <c r="F531" s="482"/>
    </row>
    <row r="532">
      <c r="F532" s="482"/>
    </row>
    <row r="533">
      <c r="F533" s="482"/>
    </row>
    <row r="534">
      <c r="F534" s="482"/>
    </row>
    <row r="535">
      <c r="F535" s="482"/>
    </row>
    <row r="536">
      <c r="F536" s="482"/>
    </row>
    <row r="537">
      <c r="F537" s="482"/>
    </row>
    <row r="538">
      <c r="F538" s="482"/>
    </row>
    <row r="539">
      <c r="F539" s="482"/>
    </row>
    <row r="540">
      <c r="F540" s="482"/>
    </row>
    <row r="541">
      <c r="F541" s="482"/>
    </row>
    <row r="542">
      <c r="F542" s="482"/>
    </row>
    <row r="543">
      <c r="F543" s="482"/>
    </row>
    <row r="544">
      <c r="F544" s="482"/>
    </row>
    <row r="545">
      <c r="F545" s="482"/>
    </row>
    <row r="546">
      <c r="F546" s="482"/>
    </row>
    <row r="547">
      <c r="F547" s="482"/>
    </row>
    <row r="548">
      <c r="F548" s="482"/>
    </row>
    <row r="549">
      <c r="F549" s="482"/>
    </row>
    <row r="550">
      <c r="F550" s="482"/>
    </row>
    <row r="551">
      <c r="F551" s="482"/>
    </row>
    <row r="552">
      <c r="F552" s="482"/>
    </row>
    <row r="553">
      <c r="F553" s="482"/>
    </row>
    <row r="554">
      <c r="F554" s="482"/>
    </row>
    <row r="555">
      <c r="F555" s="482"/>
    </row>
    <row r="556">
      <c r="F556" s="482"/>
    </row>
    <row r="557">
      <c r="F557" s="482"/>
    </row>
    <row r="558">
      <c r="F558" s="482"/>
    </row>
    <row r="559">
      <c r="F559" s="482"/>
    </row>
    <row r="560">
      <c r="F560" s="482"/>
    </row>
    <row r="561">
      <c r="F561" s="482"/>
    </row>
    <row r="562">
      <c r="F562" s="482"/>
    </row>
    <row r="563">
      <c r="F563" s="482"/>
    </row>
    <row r="564">
      <c r="F564" s="482"/>
    </row>
    <row r="565">
      <c r="F565" s="482"/>
    </row>
    <row r="566">
      <c r="F566" s="482"/>
    </row>
    <row r="567">
      <c r="F567" s="482"/>
    </row>
    <row r="568">
      <c r="F568" s="482"/>
    </row>
    <row r="569">
      <c r="F569" s="482"/>
    </row>
    <row r="570">
      <c r="F570" s="482"/>
    </row>
    <row r="571">
      <c r="F571" s="482"/>
    </row>
    <row r="572">
      <c r="F572" s="482"/>
    </row>
    <row r="573">
      <c r="F573" s="482"/>
    </row>
    <row r="574">
      <c r="F574" s="482"/>
    </row>
    <row r="575">
      <c r="F575" s="482"/>
    </row>
    <row r="576">
      <c r="F576" s="482"/>
    </row>
    <row r="577">
      <c r="F577" s="482"/>
    </row>
    <row r="578">
      <c r="F578" s="482"/>
    </row>
    <row r="579">
      <c r="F579" s="482"/>
    </row>
    <row r="580">
      <c r="F580" s="482"/>
    </row>
    <row r="581">
      <c r="F581" s="482"/>
    </row>
    <row r="582">
      <c r="F582" s="482"/>
    </row>
    <row r="583">
      <c r="F583" s="482"/>
    </row>
    <row r="584">
      <c r="F584" s="482"/>
    </row>
    <row r="585">
      <c r="F585" s="482"/>
    </row>
    <row r="586">
      <c r="F586" s="482"/>
    </row>
    <row r="587">
      <c r="F587" s="482"/>
    </row>
    <row r="588">
      <c r="F588" s="482"/>
    </row>
    <row r="589">
      <c r="F589" s="482"/>
    </row>
    <row r="590">
      <c r="F590" s="482"/>
    </row>
    <row r="591">
      <c r="F591" s="482"/>
    </row>
    <row r="592">
      <c r="F592" s="482"/>
    </row>
    <row r="593">
      <c r="F593" s="482"/>
    </row>
    <row r="594">
      <c r="F594" s="482"/>
    </row>
    <row r="595">
      <c r="F595" s="482"/>
    </row>
    <row r="596">
      <c r="F596" s="482"/>
    </row>
    <row r="597">
      <c r="F597" s="482"/>
    </row>
    <row r="598">
      <c r="F598" s="482"/>
    </row>
    <row r="599">
      <c r="F599" s="482"/>
    </row>
    <row r="600">
      <c r="F600" s="482"/>
    </row>
    <row r="601">
      <c r="F601" s="482"/>
    </row>
    <row r="602">
      <c r="F602" s="482"/>
    </row>
    <row r="603">
      <c r="F603" s="482"/>
    </row>
    <row r="604">
      <c r="F604" s="482"/>
    </row>
    <row r="605">
      <c r="F605" s="482"/>
    </row>
    <row r="606">
      <c r="F606" s="482"/>
    </row>
    <row r="607">
      <c r="F607" s="482"/>
    </row>
    <row r="608">
      <c r="F608" s="482"/>
    </row>
    <row r="609">
      <c r="F609" s="482"/>
    </row>
    <row r="610">
      <c r="F610" s="482"/>
    </row>
    <row r="611">
      <c r="F611" s="482"/>
    </row>
    <row r="612">
      <c r="F612" s="482"/>
    </row>
    <row r="613">
      <c r="F613" s="482"/>
    </row>
    <row r="614">
      <c r="F614" s="482"/>
    </row>
    <row r="615">
      <c r="F615" s="482"/>
    </row>
    <row r="616">
      <c r="F616" s="482"/>
    </row>
    <row r="617">
      <c r="F617" s="482"/>
    </row>
    <row r="618">
      <c r="F618" s="482"/>
    </row>
    <row r="619">
      <c r="F619" s="482"/>
    </row>
    <row r="620">
      <c r="F620" s="482"/>
    </row>
    <row r="621">
      <c r="F621" s="482"/>
    </row>
    <row r="622">
      <c r="F622" s="482"/>
    </row>
    <row r="623">
      <c r="F623" s="482"/>
    </row>
    <row r="624">
      <c r="F624" s="482"/>
    </row>
    <row r="625">
      <c r="F625" s="482"/>
    </row>
    <row r="626">
      <c r="F626" s="482"/>
    </row>
    <row r="627">
      <c r="F627" s="482"/>
    </row>
    <row r="628">
      <c r="F628" s="482"/>
    </row>
    <row r="629">
      <c r="F629" s="482"/>
    </row>
    <row r="630">
      <c r="F630" s="482"/>
    </row>
    <row r="631">
      <c r="F631" s="482"/>
    </row>
    <row r="632">
      <c r="F632" s="482"/>
    </row>
    <row r="633">
      <c r="F633" s="482"/>
    </row>
    <row r="634">
      <c r="F634" s="482"/>
    </row>
    <row r="635">
      <c r="F635" s="482"/>
    </row>
    <row r="636">
      <c r="F636" s="482"/>
    </row>
    <row r="637">
      <c r="F637" s="482"/>
    </row>
    <row r="638">
      <c r="F638" s="482"/>
    </row>
    <row r="639">
      <c r="F639" s="482"/>
    </row>
    <row r="640">
      <c r="F640" s="482"/>
    </row>
    <row r="641">
      <c r="F641" s="482"/>
    </row>
    <row r="642">
      <c r="F642" s="482"/>
    </row>
    <row r="643">
      <c r="F643" s="482"/>
    </row>
    <row r="644">
      <c r="F644" s="482"/>
    </row>
    <row r="645">
      <c r="F645" s="482"/>
    </row>
    <row r="646">
      <c r="F646" s="482"/>
    </row>
    <row r="647">
      <c r="F647" s="482"/>
    </row>
    <row r="648">
      <c r="F648" s="482"/>
    </row>
    <row r="649">
      <c r="F649" s="482"/>
    </row>
    <row r="650">
      <c r="F650" s="482"/>
    </row>
    <row r="651">
      <c r="F651" s="482"/>
    </row>
    <row r="652">
      <c r="F652" s="482"/>
    </row>
    <row r="653">
      <c r="F653" s="482"/>
    </row>
    <row r="654">
      <c r="F654" s="482"/>
    </row>
    <row r="655">
      <c r="F655" s="482"/>
    </row>
    <row r="656">
      <c r="F656" s="482"/>
    </row>
    <row r="657">
      <c r="F657" s="482"/>
    </row>
    <row r="658">
      <c r="F658" s="482"/>
    </row>
    <row r="659">
      <c r="F659" s="482"/>
    </row>
    <row r="660">
      <c r="F660" s="482"/>
    </row>
    <row r="661">
      <c r="F661" s="482"/>
    </row>
    <row r="662">
      <c r="F662" s="482"/>
    </row>
    <row r="663">
      <c r="F663" s="482"/>
    </row>
    <row r="664">
      <c r="F664" s="482"/>
    </row>
    <row r="665">
      <c r="F665" s="482"/>
    </row>
    <row r="666">
      <c r="F666" s="482"/>
    </row>
    <row r="667">
      <c r="F667" s="482"/>
    </row>
    <row r="668">
      <c r="F668" s="482"/>
    </row>
    <row r="669">
      <c r="F669" s="482"/>
    </row>
    <row r="670">
      <c r="F670" s="482"/>
    </row>
    <row r="671">
      <c r="F671" s="482"/>
    </row>
    <row r="672">
      <c r="F672" s="482"/>
    </row>
    <row r="673">
      <c r="F673" s="482"/>
    </row>
    <row r="674">
      <c r="F674" s="482"/>
    </row>
    <row r="675">
      <c r="F675" s="482"/>
    </row>
    <row r="676">
      <c r="F676" s="482"/>
    </row>
    <row r="677">
      <c r="F677" s="482"/>
    </row>
    <row r="678">
      <c r="F678" s="482"/>
    </row>
    <row r="679">
      <c r="F679" s="482"/>
    </row>
    <row r="680">
      <c r="F680" s="482"/>
    </row>
    <row r="681">
      <c r="F681" s="482"/>
    </row>
    <row r="682">
      <c r="F682" s="482"/>
    </row>
    <row r="683">
      <c r="F683" s="482"/>
    </row>
    <row r="684">
      <c r="F684" s="482"/>
    </row>
    <row r="685">
      <c r="F685" s="482"/>
    </row>
    <row r="686">
      <c r="F686" s="482"/>
    </row>
    <row r="687">
      <c r="F687" s="482"/>
    </row>
    <row r="688">
      <c r="F688" s="482"/>
    </row>
    <row r="689">
      <c r="F689" s="482"/>
    </row>
    <row r="690">
      <c r="F690" s="482"/>
    </row>
    <row r="691">
      <c r="F691" s="482"/>
    </row>
    <row r="692">
      <c r="F692" s="482"/>
    </row>
    <row r="693">
      <c r="F693" s="482"/>
    </row>
    <row r="694">
      <c r="F694" s="482"/>
    </row>
    <row r="695">
      <c r="F695" s="482"/>
    </row>
    <row r="696">
      <c r="F696" s="482"/>
    </row>
    <row r="697">
      <c r="F697" s="482"/>
    </row>
    <row r="698">
      <c r="F698" s="482"/>
    </row>
    <row r="699">
      <c r="F699" s="482"/>
    </row>
    <row r="700">
      <c r="F700" s="482"/>
    </row>
    <row r="701">
      <c r="F701" s="482"/>
    </row>
    <row r="702">
      <c r="F702" s="482"/>
    </row>
    <row r="703">
      <c r="F703" s="482"/>
    </row>
    <row r="704">
      <c r="F704" s="482"/>
    </row>
    <row r="705">
      <c r="F705" s="482"/>
    </row>
    <row r="706">
      <c r="F706" s="482"/>
    </row>
    <row r="707">
      <c r="F707" s="482"/>
    </row>
    <row r="708">
      <c r="F708" s="482"/>
    </row>
    <row r="709">
      <c r="F709" s="482"/>
    </row>
    <row r="710">
      <c r="F710" s="482"/>
    </row>
    <row r="711">
      <c r="F711" s="482"/>
    </row>
    <row r="712">
      <c r="F712" s="482"/>
    </row>
    <row r="713">
      <c r="F713" s="482"/>
    </row>
    <row r="714">
      <c r="F714" s="482"/>
    </row>
    <row r="715">
      <c r="F715" s="482"/>
    </row>
    <row r="716">
      <c r="F716" s="482"/>
    </row>
    <row r="717">
      <c r="F717" s="482"/>
    </row>
    <row r="718">
      <c r="F718" s="482"/>
    </row>
    <row r="719">
      <c r="F719" s="482"/>
    </row>
    <row r="720">
      <c r="F720" s="482"/>
    </row>
    <row r="721">
      <c r="F721" s="482"/>
    </row>
    <row r="722">
      <c r="F722" s="482"/>
    </row>
    <row r="723">
      <c r="F723" s="482"/>
    </row>
    <row r="724">
      <c r="F724" s="482"/>
    </row>
    <row r="725">
      <c r="F725" s="482"/>
    </row>
    <row r="726">
      <c r="F726" s="482"/>
    </row>
    <row r="727">
      <c r="F727" s="482"/>
    </row>
    <row r="728">
      <c r="F728" s="482"/>
    </row>
    <row r="729">
      <c r="F729" s="482"/>
    </row>
    <row r="730">
      <c r="F730" s="482"/>
    </row>
    <row r="731">
      <c r="F731" s="482"/>
    </row>
    <row r="732">
      <c r="F732" s="482"/>
    </row>
    <row r="733">
      <c r="F733" s="482"/>
    </row>
    <row r="734">
      <c r="F734" s="482"/>
    </row>
    <row r="735">
      <c r="F735" s="482"/>
    </row>
    <row r="736">
      <c r="F736" s="482"/>
    </row>
    <row r="737">
      <c r="F737" s="482"/>
    </row>
    <row r="738">
      <c r="F738" s="482"/>
    </row>
    <row r="739">
      <c r="F739" s="482"/>
    </row>
    <row r="740">
      <c r="F740" s="482"/>
    </row>
    <row r="741">
      <c r="F741" s="482"/>
    </row>
    <row r="742">
      <c r="F742" s="482"/>
    </row>
    <row r="743">
      <c r="F743" s="482"/>
    </row>
    <row r="744">
      <c r="F744" s="482"/>
    </row>
    <row r="745">
      <c r="F745" s="482"/>
    </row>
    <row r="746">
      <c r="F746" s="482"/>
    </row>
    <row r="747">
      <c r="F747" s="482"/>
    </row>
    <row r="748">
      <c r="F748" s="482"/>
    </row>
    <row r="749">
      <c r="F749" s="482"/>
    </row>
    <row r="750">
      <c r="F750" s="482"/>
    </row>
    <row r="751">
      <c r="F751" s="482"/>
    </row>
    <row r="752">
      <c r="F752" s="482"/>
    </row>
    <row r="753">
      <c r="F753" s="482"/>
    </row>
    <row r="754">
      <c r="F754" s="482"/>
    </row>
    <row r="755">
      <c r="F755" s="482"/>
    </row>
    <row r="756">
      <c r="F756" s="482"/>
    </row>
    <row r="757">
      <c r="F757" s="482"/>
    </row>
    <row r="758">
      <c r="F758" s="482"/>
    </row>
    <row r="759">
      <c r="F759" s="482"/>
    </row>
    <row r="760">
      <c r="F760" s="482"/>
    </row>
    <row r="761">
      <c r="F761" s="482"/>
    </row>
    <row r="762">
      <c r="F762" s="482"/>
    </row>
    <row r="763">
      <c r="F763" s="482"/>
    </row>
    <row r="764">
      <c r="F764" s="482"/>
    </row>
    <row r="765">
      <c r="F765" s="482"/>
    </row>
    <row r="766">
      <c r="F766" s="482"/>
    </row>
    <row r="767">
      <c r="F767" s="482"/>
    </row>
    <row r="768">
      <c r="F768" s="482"/>
    </row>
    <row r="769">
      <c r="F769" s="482"/>
    </row>
    <row r="770">
      <c r="F770" s="482"/>
    </row>
    <row r="771">
      <c r="F771" s="482"/>
    </row>
    <row r="772">
      <c r="F772" s="482"/>
    </row>
    <row r="773">
      <c r="F773" s="482"/>
    </row>
    <row r="774">
      <c r="F774" s="482"/>
    </row>
    <row r="775">
      <c r="F775" s="482"/>
    </row>
    <row r="776">
      <c r="F776" s="482"/>
    </row>
    <row r="777">
      <c r="F777" s="482"/>
    </row>
    <row r="778">
      <c r="F778" s="482"/>
    </row>
    <row r="779">
      <c r="F779" s="482"/>
    </row>
    <row r="780">
      <c r="F780" s="482"/>
    </row>
    <row r="781">
      <c r="F781" s="482"/>
    </row>
    <row r="782">
      <c r="F782" s="482"/>
    </row>
    <row r="783">
      <c r="F783" s="482"/>
    </row>
    <row r="784">
      <c r="F784" s="482"/>
    </row>
    <row r="785">
      <c r="F785" s="482"/>
    </row>
    <row r="786">
      <c r="F786" s="482"/>
    </row>
    <row r="787">
      <c r="F787" s="482"/>
    </row>
    <row r="788">
      <c r="F788" s="482"/>
    </row>
    <row r="789">
      <c r="F789" s="482"/>
    </row>
    <row r="790">
      <c r="F790" s="482"/>
    </row>
    <row r="791">
      <c r="F791" s="482"/>
    </row>
    <row r="792">
      <c r="F792" s="482"/>
    </row>
    <row r="793">
      <c r="F793" s="482"/>
    </row>
    <row r="794">
      <c r="F794" s="482"/>
    </row>
    <row r="795">
      <c r="F795" s="482"/>
    </row>
    <row r="796">
      <c r="F796" s="482"/>
    </row>
    <row r="797">
      <c r="F797" s="482"/>
    </row>
    <row r="798">
      <c r="F798" s="482"/>
    </row>
    <row r="799">
      <c r="F799" s="482"/>
    </row>
    <row r="800">
      <c r="F800" s="482"/>
    </row>
    <row r="801">
      <c r="F801" s="482"/>
    </row>
    <row r="802">
      <c r="F802" s="482"/>
    </row>
    <row r="803">
      <c r="F803" s="482"/>
    </row>
    <row r="804">
      <c r="F804" s="482"/>
    </row>
    <row r="805">
      <c r="F805" s="482"/>
    </row>
    <row r="806">
      <c r="F806" s="482"/>
    </row>
    <row r="807">
      <c r="F807" s="482"/>
    </row>
    <row r="808">
      <c r="F808" s="482"/>
    </row>
    <row r="809">
      <c r="F809" s="482"/>
    </row>
    <row r="810">
      <c r="F810" s="482"/>
    </row>
    <row r="811">
      <c r="F811" s="482"/>
    </row>
    <row r="812">
      <c r="F812" s="482"/>
    </row>
    <row r="813">
      <c r="F813" s="482"/>
    </row>
    <row r="814">
      <c r="F814" s="482"/>
    </row>
    <row r="815">
      <c r="F815" s="482"/>
    </row>
    <row r="816">
      <c r="F816" s="482"/>
    </row>
    <row r="817">
      <c r="F817" s="482"/>
    </row>
    <row r="818">
      <c r="F818" s="482"/>
    </row>
    <row r="819">
      <c r="F819" s="482"/>
    </row>
    <row r="820">
      <c r="F820" s="482"/>
    </row>
    <row r="821">
      <c r="F821" s="482"/>
    </row>
    <row r="822">
      <c r="F822" s="482"/>
    </row>
    <row r="823">
      <c r="F823" s="482"/>
    </row>
    <row r="824">
      <c r="F824" s="482"/>
    </row>
    <row r="825">
      <c r="F825" s="482"/>
    </row>
    <row r="826">
      <c r="F826" s="482"/>
    </row>
    <row r="827">
      <c r="F827" s="482"/>
    </row>
    <row r="828">
      <c r="F828" s="482"/>
    </row>
    <row r="829">
      <c r="F829" s="482"/>
    </row>
    <row r="830">
      <c r="F830" s="482"/>
    </row>
    <row r="831">
      <c r="F831" s="482"/>
    </row>
    <row r="832">
      <c r="F832" s="482"/>
    </row>
    <row r="833">
      <c r="F833" s="482"/>
    </row>
    <row r="834">
      <c r="F834" s="482"/>
    </row>
    <row r="835">
      <c r="F835" s="482"/>
    </row>
    <row r="836">
      <c r="F836" s="482"/>
    </row>
    <row r="837">
      <c r="F837" s="482"/>
    </row>
    <row r="838">
      <c r="F838" s="482"/>
    </row>
    <row r="839">
      <c r="F839" s="482"/>
    </row>
    <row r="840">
      <c r="F840" s="482"/>
    </row>
    <row r="841">
      <c r="F841" s="482"/>
    </row>
    <row r="842">
      <c r="F842" s="482"/>
    </row>
    <row r="843">
      <c r="F843" s="482"/>
    </row>
    <row r="844">
      <c r="F844" s="482"/>
    </row>
    <row r="845">
      <c r="F845" s="482"/>
    </row>
    <row r="846">
      <c r="F846" s="482"/>
    </row>
    <row r="847">
      <c r="F847" s="482"/>
    </row>
    <row r="848">
      <c r="F848" s="482"/>
    </row>
    <row r="849">
      <c r="F849" s="482"/>
    </row>
    <row r="850">
      <c r="F850" s="482"/>
    </row>
    <row r="851">
      <c r="F851" s="482"/>
    </row>
    <row r="852">
      <c r="F852" s="482"/>
    </row>
    <row r="853">
      <c r="F853" s="482"/>
    </row>
    <row r="854">
      <c r="F854" s="482"/>
    </row>
    <row r="855">
      <c r="F855" s="482"/>
    </row>
    <row r="856">
      <c r="F856" s="482"/>
    </row>
    <row r="857">
      <c r="F857" s="482"/>
    </row>
    <row r="858">
      <c r="F858" s="482"/>
    </row>
    <row r="859">
      <c r="F859" s="482"/>
    </row>
    <row r="860">
      <c r="F860" s="482"/>
    </row>
    <row r="861">
      <c r="F861" s="482"/>
    </row>
    <row r="862">
      <c r="F862" s="482"/>
    </row>
    <row r="863">
      <c r="F863" s="482"/>
    </row>
    <row r="864">
      <c r="F864" s="482"/>
    </row>
    <row r="865">
      <c r="F865" s="482"/>
    </row>
    <row r="866">
      <c r="F866" s="482"/>
    </row>
    <row r="867">
      <c r="F867" s="482"/>
    </row>
    <row r="868">
      <c r="F868" s="482"/>
    </row>
    <row r="869">
      <c r="F869" s="482"/>
    </row>
    <row r="870">
      <c r="F870" s="482"/>
    </row>
    <row r="871">
      <c r="F871" s="482"/>
    </row>
    <row r="872">
      <c r="F872" s="482"/>
    </row>
    <row r="873">
      <c r="F873" s="482"/>
    </row>
    <row r="874">
      <c r="F874" s="482"/>
    </row>
    <row r="875">
      <c r="F875" s="482"/>
    </row>
    <row r="876">
      <c r="F876" s="482"/>
    </row>
    <row r="877">
      <c r="F877" s="482"/>
    </row>
    <row r="878">
      <c r="F878" s="482"/>
    </row>
    <row r="879">
      <c r="F879" s="482"/>
    </row>
    <row r="880">
      <c r="F880" s="482"/>
    </row>
    <row r="881">
      <c r="F881" s="482"/>
    </row>
    <row r="882">
      <c r="F882" s="482"/>
    </row>
    <row r="883">
      <c r="F883" s="482"/>
    </row>
    <row r="884">
      <c r="F884" s="482"/>
    </row>
    <row r="885">
      <c r="F885" s="482"/>
    </row>
    <row r="886">
      <c r="F886" s="482"/>
    </row>
    <row r="887">
      <c r="F887" s="482"/>
    </row>
    <row r="888">
      <c r="F888" s="482"/>
    </row>
    <row r="889">
      <c r="F889" s="482"/>
    </row>
    <row r="890">
      <c r="F890" s="482"/>
    </row>
    <row r="891">
      <c r="F891" s="482"/>
    </row>
    <row r="892">
      <c r="F892" s="482"/>
    </row>
    <row r="893">
      <c r="F893" s="482"/>
    </row>
    <row r="894">
      <c r="F894" s="482"/>
    </row>
    <row r="895">
      <c r="F895" s="482"/>
    </row>
    <row r="896">
      <c r="F896" s="482"/>
    </row>
    <row r="897">
      <c r="F897" s="482"/>
    </row>
    <row r="898">
      <c r="F898" s="482"/>
    </row>
    <row r="899">
      <c r="F899" s="482"/>
    </row>
    <row r="900">
      <c r="F900" s="482"/>
    </row>
    <row r="901">
      <c r="F901" s="482"/>
    </row>
    <row r="902">
      <c r="F902" s="482"/>
    </row>
    <row r="903">
      <c r="F903" s="482"/>
    </row>
    <row r="904">
      <c r="F904" s="482"/>
    </row>
    <row r="905">
      <c r="F905" s="482"/>
    </row>
    <row r="906">
      <c r="F906" s="482"/>
    </row>
    <row r="907">
      <c r="F907" s="482"/>
    </row>
    <row r="908">
      <c r="F908" s="482"/>
    </row>
    <row r="909">
      <c r="F909" s="482"/>
    </row>
    <row r="910">
      <c r="F910" s="482"/>
    </row>
    <row r="911">
      <c r="F911" s="482"/>
    </row>
    <row r="912">
      <c r="F912" s="482"/>
    </row>
    <row r="913">
      <c r="F913" s="482"/>
    </row>
    <row r="914">
      <c r="F914" s="482"/>
    </row>
    <row r="915">
      <c r="F915" s="482"/>
    </row>
    <row r="916">
      <c r="F916" s="482"/>
    </row>
    <row r="917">
      <c r="F917" s="482"/>
    </row>
    <row r="918">
      <c r="F918" s="482"/>
    </row>
    <row r="919">
      <c r="F919" s="482"/>
    </row>
    <row r="920">
      <c r="F920" s="482"/>
    </row>
    <row r="921">
      <c r="F921" s="482"/>
    </row>
    <row r="922">
      <c r="F922" s="482"/>
    </row>
    <row r="923">
      <c r="F923" s="482"/>
    </row>
    <row r="924">
      <c r="F924" s="482"/>
    </row>
    <row r="925">
      <c r="F925" s="482"/>
    </row>
    <row r="926">
      <c r="F926" s="482"/>
    </row>
    <row r="927">
      <c r="F927" s="482"/>
    </row>
    <row r="928">
      <c r="F928" s="482"/>
    </row>
    <row r="929">
      <c r="F929" s="482"/>
    </row>
    <row r="930">
      <c r="F930" s="482"/>
    </row>
    <row r="931">
      <c r="F931" s="482"/>
    </row>
    <row r="932">
      <c r="F932" s="482"/>
    </row>
    <row r="933">
      <c r="F933" s="482"/>
    </row>
    <row r="934">
      <c r="F934" s="482"/>
    </row>
    <row r="935">
      <c r="F935" s="482"/>
    </row>
    <row r="936">
      <c r="F936" s="482"/>
    </row>
    <row r="937">
      <c r="F937" s="482"/>
    </row>
    <row r="938">
      <c r="F938" s="482"/>
    </row>
    <row r="939">
      <c r="F939" s="482"/>
    </row>
    <row r="940">
      <c r="F940" s="482"/>
    </row>
    <row r="941">
      <c r="F941" s="482"/>
    </row>
    <row r="942">
      <c r="F942" s="482"/>
    </row>
    <row r="943">
      <c r="F943" s="482"/>
    </row>
    <row r="944">
      <c r="F944" s="482"/>
    </row>
    <row r="945">
      <c r="F945" s="482"/>
    </row>
    <row r="946">
      <c r="F946" s="482"/>
    </row>
    <row r="947">
      <c r="F947" s="482"/>
    </row>
    <row r="948">
      <c r="F948" s="482"/>
    </row>
    <row r="949">
      <c r="F949" s="482"/>
    </row>
    <row r="950">
      <c r="F950" s="482"/>
    </row>
    <row r="951">
      <c r="F951" s="482"/>
    </row>
    <row r="952">
      <c r="F952" s="482"/>
    </row>
    <row r="953">
      <c r="F953" s="482"/>
    </row>
    <row r="954">
      <c r="F954" s="482"/>
    </row>
    <row r="955">
      <c r="F955" s="482"/>
    </row>
    <row r="956">
      <c r="F956" s="482"/>
    </row>
    <row r="957">
      <c r="F957" s="482"/>
    </row>
    <row r="958">
      <c r="F958" s="482"/>
    </row>
    <row r="959">
      <c r="F959" s="482"/>
    </row>
    <row r="960">
      <c r="F960" s="482"/>
    </row>
    <row r="961">
      <c r="F961" s="482"/>
    </row>
  </sheetData>
  <mergeCells count="2">
    <mergeCell ref="F192:G197"/>
    <mergeCell ref="F199:G204"/>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drawing r:id="rId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c r="A3" s="546" t="s">
        <v>654</v>
      </c>
      <c r="B3" s="3"/>
      <c r="C3" s="547" t="s">
        <v>655</v>
      </c>
      <c r="D3" s="2"/>
      <c r="E3" s="2"/>
      <c r="F3" s="2"/>
      <c r="G3" s="2"/>
      <c r="H3" s="2"/>
      <c r="I3" s="3"/>
    </row>
    <row r="4" ht="15.75" customHeight="1">
      <c r="A4" s="546" t="s">
        <v>6</v>
      </c>
      <c r="B4" s="3"/>
      <c r="C4" s="546" t="s">
        <v>655</v>
      </c>
      <c r="D4" s="2"/>
      <c r="E4" s="2"/>
      <c r="F4" s="2"/>
      <c r="G4" s="2"/>
      <c r="H4" s="2"/>
      <c r="I4" s="3"/>
    </row>
    <row r="5" ht="15.75" customHeight="1">
      <c r="A5" s="546" t="s">
        <v>656</v>
      </c>
      <c r="B5" s="3"/>
      <c r="C5" s="546" t="s">
        <v>655</v>
      </c>
      <c r="D5" s="2"/>
      <c r="E5" s="2"/>
      <c r="F5" s="2"/>
      <c r="G5" s="2"/>
      <c r="H5" s="2"/>
      <c r="I5" s="3"/>
    </row>
    <row r="6" ht="15.75" customHeight="1">
      <c r="A6" s="546" t="s">
        <v>657</v>
      </c>
      <c r="B6" s="3"/>
      <c r="C6" s="546" t="s">
        <v>655</v>
      </c>
      <c r="D6" s="2"/>
      <c r="E6" s="2"/>
      <c r="F6" s="2"/>
      <c r="G6" s="2"/>
      <c r="H6" s="2"/>
      <c r="I6" s="3"/>
    </row>
    <row r="7" ht="15.75" customHeight="1">
      <c r="A7" s="546" t="s">
        <v>658</v>
      </c>
      <c r="B7" s="3"/>
      <c r="C7" s="546" t="s">
        <v>659</v>
      </c>
      <c r="D7" s="2"/>
      <c r="E7" s="2"/>
      <c r="F7" s="2"/>
      <c r="G7" s="2"/>
      <c r="H7" s="2"/>
      <c r="I7" s="3"/>
    </row>
    <row r="8" ht="15.75" customHeight="1">
      <c r="A8" s="546" t="s">
        <v>660</v>
      </c>
      <c r="B8" s="3"/>
      <c r="C8" s="546" t="s">
        <v>661</v>
      </c>
      <c r="D8" s="2"/>
      <c r="E8" s="2"/>
      <c r="F8" s="2"/>
      <c r="G8" s="2"/>
      <c r="H8" s="2"/>
      <c r="I8" s="3"/>
    </row>
    <row r="9" ht="15.75" customHeight="1">
      <c r="A9" s="546" t="s">
        <v>662</v>
      </c>
      <c r="B9" s="3"/>
      <c r="C9" s="546" t="s">
        <v>663</v>
      </c>
      <c r="D9" s="2"/>
      <c r="E9" s="2"/>
      <c r="F9" s="2"/>
      <c r="G9" s="2"/>
      <c r="H9" s="2"/>
      <c r="I9" s="3"/>
    </row>
    <row r="10" ht="15.75" customHeight="1">
      <c r="A10" s="546" t="s">
        <v>664</v>
      </c>
      <c r="B10" s="3"/>
      <c r="C10" s="546" t="s">
        <v>665</v>
      </c>
      <c r="D10" s="2"/>
      <c r="E10" s="2"/>
      <c r="F10" s="2"/>
      <c r="G10" s="2"/>
      <c r="H10" s="2"/>
      <c r="I10" s="3"/>
    </row>
    <row r="11" ht="15.75" customHeight="1">
      <c r="A11" s="546" t="s">
        <v>666</v>
      </c>
      <c r="B11" s="3"/>
      <c r="C11" s="548" t="s">
        <v>667</v>
      </c>
      <c r="D11" s="2"/>
      <c r="E11" s="2"/>
      <c r="F11" s="2"/>
      <c r="G11" s="2"/>
      <c r="H11" s="2"/>
      <c r="I11" s="3"/>
    </row>
    <row r="12" ht="15.75" customHeight="1">
      <c r="A12" s="546" t="s">
        <v>668</v>
      </c>
      <c r="B12" s="3"/>
      <c r="C12" s="546" t="s">
        <v>669</v>
      </c>
      <c r="D12" s="2"/>
      <c r="E12" s="2"/>
      <c r="F12" s="2"/>
      <c r="G12" s="2"/>
      <c r="H12" s="2"/>
      <c r="I12" s="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6:B6"/>
    <mergeCell ref="A7:B7"/>
    <mergeCell ref="A8:B8"/>
    <mergeCell ref="A9:B9"/>
    <mergeCell ref="A10:B10"/>
    <mergeCell ref="A11:B11"/>
    <mergeCell ref="A12:B12"/>
    <mergeCell ref="C7:I7"/>
    <mergeCell ref="C8:I8"/>
    <mergeCell ref="C9:I9"/>
    <mergeCell ref="C10:I10"/>
    <mergeCell ref="C11:I11"/>
    <mergeCell ref="C12:I12"/>
    <mergeCell ref="A3:B3"/>
    <mergeCell ref="C3:I3"/>
    <mergeCell ref="A4:B4"/>
    <mergeCell ref="C4:I4"/>
    <mergeCell ref="A5:B5"/>
    <mergeCell ref="C5:I5"/>
    <mergeCell ref="C6:I6"/>
  </mergeCells>
  <hyperlinks>
    <hyperlink r:id="rId1" ref="C3"/>
    <hyperlink r:id="rId2" ref="C11"/>
  </hyperlinks>
  <printOptions/>
  <pageMargins bottom="0.75" footer="0.0" header="0.0" left="0.7" right="0.7" top="0.75"/>
  <pageSetup orientation="landscape"/>
  <drawing r:id="rId3"/>
</worksheet>
</file>