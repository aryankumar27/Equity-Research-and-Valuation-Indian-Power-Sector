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Balance Sheet" sheetId="2" r:id="rId5"/>
    <sheet state="visible" name="Profit and Loss Statement" sheetId="3" r:id="rId6"/>
    <sheet state="visible" name="Cash Flow Statement" sheetId="4" r:id="rId7"/>
    <sheet state="visible" name="Share Holding Pattern " sheetId="5" r:id="rId8"/>
    <sheet state="visible" name="Financial ratio " sheetId="6" r:id="rId9"/>
    <sheet state="visible" name="Du Pont " sheetId="7" r:id="rId10"/>
    <sheet state="visible" name="Beta Calculation" sheetId="8" r:id="rId11"/>
    <sheet state="visible" name="Market return" sheetId="9" r:id="rId12"/>
    <sheet state="visible" name="Peer Comparison &amp; COE" sheetId="10" r:id="rId13"/>
    <sheet state="visible" name="COD" sheetId="11" r:id="rId14"/>
    <sheet state="visible" name="WACC" sheetId="12" r:id="rId15"/>
    <sheet state="visible" name="Data_sheet for growth" sheetId="13" r:id="rId16"/>
    <sheet state="visible" name="Growth" sheetId="14" r:id="rId17"/>
    <sheet state="visible" name="DCF Valuation" sheetId="15" r:id="rId18"/>
    <sheet state="visible" name="Relative Valuation" sheetId="16" r:id="rId19"/>
    <sheet state="visible" name="References" sheetId="17" r:id="rId20"/>
  </sheets>
  <definedNames/>
  <calcPr/>
</workbook>
</file>

<file path=xl/sharedStrings.xml><?xml version="1.0" encoding="utf-8"?>
<sst xmlns="http://schemas.openxmlformats.org/spreadsheetml/2006/main" count="1067" uniqueCount="522">
  <si>
    <t>INDEX</t>
  </si>
  <si>
    <t>COMPANY</t>
  </si>
  <si>
    <t>Sr No.</t>
  </si>
  <si>
    <t>Particulars</t>
  </si>
  <si>
    <t>Link to Sheet</t>
  </si>
  <si>
    <t>Balance Sheet</t>
  </si>
  <si>
    <t>Profit &amp; Loss</t>
  </si>
  <si>
    <t>Profit and Loss Statement</t>
  </si>
  <si>
    <t>Cash Flow Statement</t>
  </si>
  <si>
    <t>Share Holding Pattern</t>
  </si>
  <si>
    <t xml:space="preserve">Share Holding Pattern </t>
  </si>
  <si>
    <t>Calculation of Financial Ratio</t>
  </si>
  <si>
    <t xml:space="preserve">Financial ratio </t>
  </si>
  <si>
    <t>Du Pont Analysis</t>
  </si>
  <si>
    <t xml:space="preserve">Du Pont </t>
  </si>
  <si>
    <t>Calculation of Market return</t>
  </si>
  <si>
    <t>Market return</t>
  </si>
  <si>
    <t>Beta calculation using Historical return</t>
  </si>
  <si>
    <t>Beta Calculation</t>
  </si>
  <si>
    <t>Bottom up Beta Calculation</t>
  </si>
  <si>
    <t>Peer Comparison &amp; COE</t>
  </si>
  <si>
    <t>Calculation of Ke</t>
  </si>
  <si>
    <t>Calculation of Kd</t>
  </si>
  <si>
    <t>COD</t>
  </si>
  <si>
    <t>WACC</t>
  </si>
  <si>
    <t>Data Sheet for Growth calculation</t>
  </si>
  <si>
    <t>Data_sheet for growth</t>
  </si>
  <si>
    <t>Calculation of growth rate</t>
  </si>
  <si>
    <t>Growth</t>
  </si>
  <si>
    <t xml:space="preserve">DCF </t>
  </si>
  <si>
    <t>Relative Valuation</t>
  </si>
  <si>
    <t xml:space="preserve">References </t>
  </si>
  <si>
    <t>References</t>
  </si>
  <si>
    <t>Column 1</t>
  </si>
  <si>
    <t>Mar-14</t>
  </si>
  <si>
    <t>Mar-15</t>
  </si>
  <si>
    <t>Mar-16</t>
  </si>
  <si>
    <t>Mar-17</t>
  </si>
  <si>
    <t>Mar-18</t>
  </si>
  <si>
    <t>Mar-19</t>
  </si>
  <si>
    <t>Mar-20</t>
  </si>
  <si>
    <t>Mar-21</t>
  </si>
  <si>
    <t>Mar-22</t>
  </si>
  <si>
    <t>Mar-23</t>
  </si>
  <si>
    <t>Mar-24</t>
  </si>
  <si>
    <t>Mar-25</t>
  </si>
  <si>
    <t>Equity Capital</t>
  </si>
  <si>
    <t>Reserves</t>
  </si>
  <si>
    <t>Borrowings -</t>
  </si>
  <si>
    <t>Long term Borrowings</t>
  </si>
  <si>
    <t>Short term Borrowings</t>
  </si>
  <si>
    <t>Lease Liabilities</t>
  </si>
  <si>
    <t>Other Borrowings</t>
  </si>
  <si>
    <t>Other Liabilities -</t>
  </si>
  <si>
    <t>Trade Payables</t>
  </si>
  <si>
    <t>Advance from Customers</t>
  </si>
  <si>
    <t>Other liability items</t>
  </si>
  <si>
    <t>Total Liabilities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</si>
  <si>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</si>
  <si>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</si>
  <si>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</si>
  <si>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</si>
  <si>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</si>
  <si>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</si>
  <si>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</si>
  <si>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</si>
  <si>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</si>
  <si>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</si>
  <si>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</si>
  <si>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</si>
  <si>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</si>
  <si>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Investments</t>
  </si>
  <si>
    <t>Other Assets -</t>
  </si>
  <si>
    <t>Inventories</t>
  </si>
  <si>
    <t>Trade receivables</t>
  </si>
  <si>
    <t>Cash Equivalents</t>
  </si>
  <si>
    <t>Loans n Advances</t>
  </si>
  <si>
    <t>Other asset items</t>
  </si>
  <si>
    <t>Average Trade receivables</t>
  </si>
  <si>
    <t>Total Assets</t>
  </si>
  <si>
    <t>Average Total Asset</t>
  </si>
  <si>
    <t>Average Inventory</t>
  </si>
  <si>
    <t>*Due to the unavailability of data for Mar-25, the values for the item highlighted in yellow have been assumed to be the same as the previous year’s figures, in order to maintain continuity in the valuation analysis</t>
  </si>
  <si>
    <t>Sales -</t>
  </si>
  <si>
    <t>Sales Growth %</t>
  </si>
  <si>
    <t>Expenses -</t>
  </si>
  <si>
    <t>Manufacturing Cost %</t>
  </si>
  <si>
    <t>Employee Cost %</t>
  </si>
  <si>
    <t>Other Cost %</t>
  </si>
  <si>
    <t>Operating Profit</t>
  </si>
  <si>
    <t>OPM %</t>
  </si>
  <si>
    <t>Other Income -</t>
  </si>
  <si>
    <t>Exceptional items</t>
  </si>
  <si>
    <t>Other income normal</t>
  </si>
  <si>
    <t>Interest</t>
  </si>
  <si>
    <t>Depreciation</t>
  </si>
  <si>
    <t>Profit before tax</t>
  </si>
  <si>
    <t>Tax %</t>
  </si>
  <si>
    <t>Net Profit -</t>
  </si>
  <si>
    <t>Exceptional items AT</t>
  </si>
  <si>
    <t>Profit excl Excep</t>
  </si>
  <si>
    <t>Profit for PE</t>
  </si>
  <si>
    <t>Profit for EPS</t>
  </si>
  <si>
    <t>EPS in Rs</t>
  </si>
  <si>
    <t>Dividend Payout %</t>
  </si>
  <si>
    <t>Cash from Operating Activity -</t>
  </si>
  <si>
    <t>Profit from operations</t>
  </si>
  <si>
    <t>Receivables</t>
  </si>
  <si>
    <t>Inventory</t>
  </si>
  <si>
    <t>Payables</t>
  </si>
  <si>
    <t>Loans Advances</t>
  </si>
  <si>
    <t>Other WC items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</si>
  <si>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</si>
  <si>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</si>
  <si>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</si>
  <si>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</si>
  <si>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</si>
  <si>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</si>
  <si>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</si>
  <si>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</si>
  <si>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</si>
  <si>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</si>
  <si>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Loans to Subsidiaries</t>
  </si>
  <si>
    <t>Investment in group cos</t>
  </si>
  <si>
    <t>Redemp n Canc of Shares</t>
  </si>
  <si>
    <t>Acquisition of companies</t>
  </si>
  <si>
    <t>nter corporate deposits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</si>
  <si>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</si>
  <si>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</si>
  <si>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</si>
  <si>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</si>
  <si>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</si>
  <si>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</si>
  <si>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</si>
  <si>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</si>
  <si>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</si>
  <si>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Net Cash Flow</t>
  </si>
  <si>
    <t>Promoters -</t>
  </si>
  <si>
    <r>
      <rPr>
        <rFont val="&quot;Inter var&quot;, Inter, sans-serif"/>
        <color rgb="FF1155CC"/>
        <sz val="12.0"/>
        <u/>
      </rPr>
      <t>Torrent Investments Private Limited</t>
    </r>
  </si>
  <si>
    <r>
      <rPr>
        <rFont val="&quot;Inter var&quot;, Inter, sans-serif"/>
        <color rgb="FF1155CC"/>
        <sz val="12.0"/>
        <u/>
      </rPr>
      <t>Torrent Private Limited</t>
    </r>
  </si>
  <si>
    <r>
      <rPr>
        <rFont val="&quot;Inter var&quot;, Inter, sans-serif"/>
        <color rgb="FF1155CC"/>
        <sz val="12.0"/>
        <u/>
      </rPr>
      <t>Torrent Investments Private Limited (Formerly know...</t>
    </r>
  </si>
  <si>
    <r>
      <rPr>
        <rFont val="&quot;Inter var&quot;, Inter, sans-serif"/>
        <color rgb="FF1155CC"/>
        <sz val="12.0"/>
        <u/>
      </rPr>
      <t>Torrent Investments Limited (Formerly known as Tor...</t>
    </r>
  </si>
  <si>
    <r>
      <rPr>
        <rFont val="&quot;Inter var&quot;, Inter, sans-serif"/>
        <color rgb="FF1155CC"/>
        <sz val="12.0"/>
        <u/>
      </rPr>
      <t>Samir Uttamlal Mehta</t>
    </r>
  </si>
  <si>
    <r>
      <rPr>
        <rFont val="&quot;Inter var&quot;, Inter, sans-serif"/>
        <color rgb="FF1155CC"/>
        <sz val="12.0"/>
        <u/>
      </rPr>
      <t>Sudhir Uttamlal Mehta</t>
    </r>
  </si>
  <si>
    <r>
      <rPr>
        <rFont val="&quot;Inter var&quot;, Inter, sans-serif"/>
        <color rgb="FF1155CC"/>
        <sz val="12.0"/>
        <u/>
      </rPr>
      <t>Jinal Sudhir Mehta</t>
    </r>
  </si>
  <si>
    <r>
      <rPr>
        <rFont val="&quot;Inter var&quot;, Inter, sans-serif"/>
        <color rgb="FF1155CC"/>
        <sz val="12.0"/>
        <u/>
      </rPr>
      <t>Mehta Family Trust 4</t>
    </r>
  </si>
  <si>
    <r>
      <rPr>
        <rFont val="&quot;Inter var&quot;, Inter, sans-serif"/>
        <color rgb="FF1155CC"/>
        <sz val="12.0"/>
        <u/>
      </rPr>
      <t>Mehta Family Trust 3</t>
    </r>
  </si>
  <si>
    <r>
      <rPr>
        <rFont val="&quot;Inter var&quot;, Inter, sans-serif"/>
        <color rgb="FF1155CC"/>
        <sz val="12.0"/>
        <u/>
      </rPr>
      <t>Mehta Family Trust 2</t>
    </r>
  </si>
  <si>
    <r>
      <rPr>
        <rFont val="&quot;Inter var&quot;, Inter, sans-serif"/>
        <color rgb="FF1155CC"/>
        <sz val="12.0"/>
        <u/>
      </rPr>
      <t>Mehta Family Trust 1</t>
    </r>
  </si>
  <si>
    <t>FIIs -</t>
  </si>
  <si>
    <t>DIIs -</t>
  </si>
  <si>
    <r>
      <rPr>
        <rFont val="&quot;Inter var&quot;, Inter, sans-serif"/>
        <color rgb="FF1155CC"/>
        <sz val="12.0"/>
        <u/>
      </rPr>
      <t>SBI Mutual Funds</t>
    </r>
  </si>
  <si>
    <r>
      <rPr>
        <rFont val="&quot;Inter var&quot;, Inter, sans-serif"/>
        <color rgb="FF1155CC"/>
        <sz val="12.0"/>
        <u/>
      </rPr>
      <t>Axis Elss Tax Saver Fund</t>
    </r>
  </si>
  <si>
    <r>
      <rPr>
        <rFont val="&quot;Inter var&quot;, Inter, sans-serif"/>
        <color rgb="FF1155CC"/>
        <sz val="12.0"/>
        <u/>
      </rPr>
      <t>Axis Mutual Fund Trustee Limited A/C Axis Mutual F...</t>
    </r>
  </si>
  <si>
    <r>
      <rPr>
        <rFont val="&quot;Inter var&quot;, Inter, sans-serif"/>
        <color rgb="FF1155CC"/>
        <sz val="12.0"/>
        <u/>
      </rPr>
      <t>SBI Long Term Equity Fund</t>
    </r>
  </si>
  <si>
    <r>
      <rPr>
        <rFont val="&quot;Inter var&quot;, Inter, sans-serif"/>
        <color rgb="FF1155CC"/>
        <sz val="12.0"/>
        <u/>
      </rPr>
      <t>Life Insurance Corporation Of India</t>
    </r>
  </si>
  <si>
    <r>
      <rPr>
        <rFont val="&quot;Inter var&quot;, Inter, sans-serif"/>
        <color rgb="FF1155CC"/>
        <sz val="12.0"/>
        <u/>
      </rPr>
      <t>Sbi Focused Equity Fund</t>
    </r>
  </si>
  <si>
    <r>
      <rPr>
        <rFont val="&quot;Inter var&quot;, Inter, sans-serif"/>
        <color rgb="FF1155CC"/>
        <sz val="12.0"/>
        <u/>
      </rPr>
      <t>Axis Mutual Funds</t>
    </r>
  </si>
  <si>
    <r>
      <rPr>
        <rFont val="&quot;Inter var&quot;, Inter, sans-serif"/>
        <color rgb="FF1155CC"/>
        <sz val="12.0"/>
        <u/>
      </rPr>
      <t>Uti-Mid Cap Fund</t>
    </r>
  </si>
  <si>
    <r>
      <rPr>
        <rFont val="&quot;Inter var&quot;, Inter, sans-serif"/>
        <color rgb="FF1155CC"/>
        <sz val="12.0"/>
        <u/>
      </rPr>
      <t>Uti- Value Opportunities Fund</t>
    </r>
  </si>
  <si>
    <r>
      <rPr>
        <rFont val="&quot;Inter var&quot;, Inter, sans-serif"/>
        <color rgb="FF1155CC"/>
        <sz val="12.0"/>
        <u/>
      </rPr>
      <t>Reliance Capital Trustee Co Ltd.A/C Reliance Multi Cap Fund</t>
    </r>
  </si>
  <si>
    <r>
      <rPr>
        <rFont val="&quot;Inter var&quot;, Inter, sans-serif"/>
        <color rgb="FF1155CC"/>
        <sz val="12.0"/>
        <u/>
      </rPr>
      <t>Hdfc Life Insurance Company Limited</t>
    </r>
  </si>
  <si>
    <r>
      <rPr>
        <rFont val="&quot;Inter var&quot;, Inter, sans-serif"/>
        <color rgb="FF1155CC"/>
        <sz val="12.0"/>
        <u/>
      </rPr>
      <t>General Insurance Corporation Of India</t>
    </r>
  </si>
  <si>
    <r>
      <rPr>
        <rFont val="&quot;Inter var&quot;, Inter, sans-serif"/>
        <color rgb="FF1155CC"/>
        <sz val="12.0"/>
        <u/>
      </rPr>
      <t>The New India Assurance Company Limited</t>
    </r>
  </si>
  <si>
    <r>
      <rPr>
        <rFont val="&quot;Inter var&quot;, Inter, sans-serif"/>
        <color rgb="FF1155CC"/>
        <sz val="12.0"/>
        <u/>
      </rPr>
      <t>Franklin India Prima Fund</t>
    </r>
  </si>
  <si>
    <r>
      <rPr>
        <rFont val="&quot;Inter var&quot;, Inter, sans-serif"/>
        <color rgb="FF1155CC"/>
        <sz val="12.0"/>
        <u/>
      </rPr>
      <t>Reliance Capital Trustee Co. Ltd. A/C Reliance Div...</t>
    </r>
  </si>
  <si>
    <t>Government +</t>
  </si>
  <si>
    <t>Public +</t>
  </si>
  <si>
    <t>No. of Shareholders</t>
  </si>
  <si>
    <t>1,18,491</t>
  </si>
  <si>
    <t>1,23,399</t>
  </si>
  <si>
    <t>1,17,467</t>
  </si>
  <si>
    <t>1,11,862</t>
  </si>
  <si>
    <t>1,12,348</t>
  </si>
  <si>
    <t>1,34,002</t>
  </si>
  <si>
    <t>1,25,793</t>
  </si>
  <si>
    <t>1,40,153</t>
  </si>
  <si>
    <t>1,65,189</t>
  </si>
  <si>
    <t>Ideal Value</t>
  </si>
  <si>
    <t>Formula Used</t>
  </si>
  <si>
    <t>Average</t>
  </si>
  <si>
    <t>Analysis</t>
  </si>
  <si>
    <t>Profitability Ratios</t>
  </si>
  <si>
    <t>Net Profit Ratio</t>
  </si>
  <si>
    <t>Net Profit / Sales</t>
  </si>
  <si>
    <t>Improving long-term trend with recent highs close to the ideal (13.72%); average (7.67%) surpassed in most years post-2020, indicating strong profitability recovery.</t>
  </si>
  <si>
    <t>Bad</t>
  </si>
  <si>
    <t>Good</t>
  </si>
  <si>
    <t>Excellent</t>
  </si>
  <si>
    <t>Operating Margin</t>
  </si>
  <si>
    <t>-</t>
  </si>
  <si>
    <t>Consistently above average (22.92%) from FY16 onward, though still below the ideal 30%, showing healthy but improvable operational efficiency.</t>
  </si>
  <si>
    <t>Return on Assets</t>
  </si>
  <si>
    <t>Net Profit / Total Assets</t>
  </si>
  <si>
    <t>ROA showed volatility, but consistently outperformed both the low ideal (2.62%) and the average (4.68%) post-2020, reflecting enhanced asset utilization.</t>
  </si>
  <si>
    <t>Return on Capital Employed</t>
  </si>
  <si>
    <t>Operating profit / Capital employed</t>
  </si>
  <si>
    <t>Strong and stable upward trend, consistently above both the ideal (8.69%) and average (17.68%), indicating highly efficient capital use.</t>
  </si>
  <si>
    <t>Return on Equity</t>
  </si>
  <si>
    <t>Net Profit / Total Equity</t>
  </si>
  <si>
    <t>Fluctuated but showed a clear upward trend post-2020, exceeding both the ideal (7.46%) and average (11.27%) in most years, indicating increasing shareholder value.</t>
  </si>
  <si>
    <t>Dividend Payout Ratio</t>
  </si>
  <si>
    <t>Initially well-aligned with an ideal low-payout strategy, but post-2020, payout ratios exceed sustainable thresholds, risking capital reinvestment and debt servicing needs.</t>
  </si>
  <si>
    <t>Price to Earnings Ratio</t>
  </si>
  <si>
    <t>(MV/BV)/ROE</t>
  </si>
  <si>
    <t>Highly volatile, often deviating from both ideal (34.8) and average (70.5), reflecting market overreaction cycles and inconsistent earnings multiples.</t>
  </si>
  <si>
    <t>Market Value/Book Value</t>
  </si>
  <si>
    <t>Long-term trend moved from deep undervaluation to volatile overvaluation, averaging above the ideal (2.41), indicating fluctuating market sentiment</t>
  </si>
  <si>
    <t>Liquidity Ratio</t>
  </si>
  <si>
    <t>Current Ratio</t>
  </si>
  <si>
    <t>Current Assets/ Current Liabilities</t>
  </si>
  <si>
    <t>Current ratio has remained around the industry average(1.27), reflecting that the comapny manages enough inventory and assets to meet up its short-term liabilities</t>
  </si>
  <si>
    <t>Quick Ratio</t>
  </si>
  <si>
    <t>(Current Assets - Inventory)/ Current Liabilities</t>
  </si>
  <si>
    <t>Quick ratio follows similar trend as Current Assets, initially below industry average but after FY24 it surpassed the industry average</t>
  </si>
  <si>
    <t>Capital Structure Ratio</t>
  </si>
  <si>
    <t>Debt to Equity Ratio(Total debt/TE)</t>
  </si>
  <si>
    <t>Total Debt / Total Equity</t>
  </si>
  <si>
    <t>Debt/Equity ratio is almost around the industry average value(0.7) across the years</t>
  </si>
  <si>
    <t>optimal</t>
  </si>
  <si>
    <t>risky</t>
  </si>
  <si>
    <t>Debt to Assets Ratio</t>
  </si>
  <si>
    <t>Borrowings/Total Asset</t>
  </si>
  <si>
    <t>Debt/Asset ratio has also followed the industrial average trend across the years, suggesting firm has not over-borrowed</t>
  </si>
  <si>
    <t>Interest Coverage Ratio</t>
  </si>
  <si>
    <t>Operating Income/Interest expense</t>
  </si>
  <si>
    <t>Interest Coverage ratio has shown an increasing trend across the years, reflecting that a large portion of operating profit is used in the interest expense</t>
  </si>
  <si>
    <t>Equity to Asset Ratio</t>
  </si>
  <si>
    <t>Shareholders Equity/Total Asset</t>
  </si>
  <si>
    <t>Equity to Asset ratio has followed the industry average across the years(0.0286), consistent with the D/E ratio and  D/A ratio</t>
  </si>
  <si>
    <t>Turnover Ratios</t>
  </si>
  <si>
    <t>Inventory Turnover</t>
  </si>
  <si>
    <t>Inventory turnover is higher than the industry average ratio(2). Increasing trend observed across the years, suggesting that firm is efficiently utilizing its inventory</t>
  </si>
  <si>
    <t>Debtors Turnover</t>
  </si>
  <si>
    <t>Sales/Average Receivables</t>
  </si>
  <si>
    <t>Debtor's Turnover ratio is higher than the industry average(4.79) which suggests that firm is able to collect its revenue efficiently</t>
  </si>
  <si>
    <t>Excelllent</t>
  </si>
  <si>
    <t>Fixed Assets Turnover</t>
  </si>
  <si>
    <t>Sales/Fixed total asset</t>
  </si>
  <si>
    <t>Higher than the industry average of 0.2461, reflecting that fixed assets are used efficiently to generate revenue</t>
  </si>
  <si>
    <t>Total Assets Turnover</t>
  </si>
  <si>
    <t>Sales/Average Total Asset</t>
  </si>
  <si>
    <t>Higher than the industry average of 0.17, reflecting that  assets are used efficiently to generate revenue, consistent with the efficient use of fixed assets</t>
  </si>
  <si>
    <t>Ideal value is the median of all ratio values of the power industry.</t>
  </si>
  <si>
    <t>DU PONT ANALYSIS</t>
  </si>
  <si>
    <t>ROE - Dupont Equation</t>
  </si>
  <si>
    <t>Net Profit</t>
  </si>
  <si>
    <t>Revenue</t>
  </si>
  <si>
    <t>Net Profit Margin (A)</t>
  </si>
  <si>
    <t>Asset Turnover Ratio (B)</t>
  </si>
  <si>
    <t>Average Shareholder Equity</t>
  </si>
  <si>
    <t>Equity Multiplier (C)</t>
  </si>
  <si>
    <t>Return on Equity (A*B*C)</t>
  </si>
  <si>
    <t xml:space="preserve">This shows that the calculated Du Pont values are close to actual industry values </t>
  </si>
  <si>
    <t>ROA - Dupont Equation</t>
  </si>
  <si>
    <t>Return on Asset (A*B)</t>
  </si>
  <si>
    <t>Peers to Our companies</t>
  </si>
  <si>
    <t>NIFTY RETURNS</t>
  </si>
  <si>
    <t xml:space="preserve">TORRENT POWER </t>
  </si>
  <si>
    <t>Beta Drifting</t>
  </si>
  <si>
    <t>Date</t>
  </si>
  <si>
    <t>Price</t>
  </si>
  <si>
    <t>Change %</t>
  </si>
  <si>
    <t>NTPC</t>
  </si>
  <si>
    <t>Power Grid Corporation of India </t>
  </si>
  <si>
    <t>NHPC</t>
  </si>
  <si>
    <t xml:space="preserve">Adani Green </t>
  </si>
  <si>
    <t>Levered Raw beta</t>
  </si>
  <si>
    <t>Raw Beta weight</t>
  </si>
  <si>
    <t xml:space="preserve"> </t>
  </si>
  <si>
    <t>Market Beta</t>
  </si>
  <si>
    <t>Market Beta weight</t>
  </si>
  <si>
    <t>Adj Beta for TORRENT POWER</t>
  </si>
  <si>
    <t>Peers Beta using Historical data</t>
  </si>
  <si>
    <t>Beta NTPC</t>
  </si>
  <si>
    <t>Beta 1  TORRENT POWER</t>
  </si>
  <si>
    <t>Beta Power Grid</t>
  </si>
  <si>
    <t>Beta 2 TORRENT POWER</t>
  </si>
  <si>
    <t>Beta NHPC Energy</t>
  </si>
  <si>
    <t>Beta 3  TORRENT POWER</t>
  </si>
  <si>
    <t>Beta Adani green</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</si>
  <si>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</si>
  <si>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</si>
  <si>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</si>
  <si>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</si>
  <si>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</si>
  <si>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</si>
  <si>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</si>
  <si>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</si>
  <si>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</si>
  <si>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</si>
  <si>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</si>
  <si>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</si>
  <si>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</si>
  <si>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</si>
  <si>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</si>
  <si>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</si>
  <si>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</si>
  <si>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</si>
  <si>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</si>
  <si>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</si>
  <si>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</si>
  <si>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</si>
  <si>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</si>
  <si>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</si>
  <si>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</si>
  <si>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Returns on Market</t>
  </si>
  <si>
    <t>Year</t>
  </si>
  <si>
    <t>Annual</t>
  </si>
  <si>
    <t>Average Return</t>
  </si>
  <si>
    <t xml:space="preserve">Dividend Yield </t>
  </si>
  <si>
    <t>Total Market return</t>
  </si>
  <si>
    <t>This sheet does a peer comparison of Torrent Power and power sector firms on basis of their (Debt to equity ratio) , and later using that and levered and unlevered beta by bottom Up approach, we have calculated the Required Returns or Cost of equity (Ke by CAPM model)</t>
  </si>
  <si>
    <t>Peer Comparison</t>
  </si>
  <si>
    <t>Name</t>
  </si>
  <si>
    <t>Total debt</t>
  </si>
  <si>
    <t>Total Equity</t>
  </si>
  <si>
    <t>Tax Rate</t>
  </si>
  <si>
    <t>Debt/.  Equity</t>
  </si>
  <si>
    <t>Debt/. Capital</t>
  </si>
  <si>
    <t>Levered Beta</t>
  </si>
  <si>
    <t>Unlevered Beta</t>
  </si>
  <si>
    <t>Torrent Power</t>
  </si>
  <si>
    <t>Power Grid corp</t>
  </si>
  <si>
    <t>Adani Green</t>
  </si>
  <si>
    <t>NHPC Ltd</t>
  </si>
  <si>
    <t>Median</t>
  </si>
  <si>
    <t xml:space="preserve">*Tax rate is take as 30% which is market standard </t>
  </si>
  <si>
    <t>Current</t>
  </si>
  <si>
    <t>Companies average beta (unlevered)</t>
  </si>
  <si>
    <t>Total Debt</t>
  </si>
  <si>
    <t>Current debt/equity</t>
  </si>
  <si>
    <t>Market Cap</t>
  </si>
  <si>
    <t>Tax rate</t>
  </si>
  <si>
    <t>Total Cap</t>
  </si>
  <si>
    <t>Debt/Equity</t>
  </si>
  <si>
    <t>Risk free rate</t>
  </si>
  <si>
    <t>Market return (NIFTY 50 : 25 years)</t>
  </si>
  <si>
    <t>Equity Risk premium</t>
  </si>
  <si>
    <t>Ke</t>
  </si>
  <si>
    <t>Formula used for calculation (CAPM model) -&gt; Ke = [rf+ (rm-rf)*beta]</t>
  </si>
  <si>
    <t> This is a table that relates the interest coverage ratio of a firm to a "synthetic" rating and a default spread that goes with that rating. The link between interest coverage ratios and ratings was developed by looking at all rated companies in the United States. The default spreads are obtained from traded bonds. Adding that number to a riskfree rate should yield the pre-tax cost of borrowing for a firm.</t>
  </si>
  <si>
    <r>
      <rPr>
        <rFont val="Times"/>
        <b/>
        <color rgb="FF000000"/>
        <sz val="14.0"/>
      </rPr>
      <t>Date of Analysis</t>
    </r>
    <r>
      <rPr>
        <rFont val="Times"/>
        <b val="0"/>
        <color rgb="FF000000"/>
        <sz val="14.0"/>
      </rPr>
      <t>: Data used is as of January 2025</t>
    </r>
  </si>
  <si>
    <t>For large non-financial service firms</t>
  </si>
  <si>
    <t>For financial service firms (default spreads are slighty different)</t>
  </si>
  <si>
    <t>If interest coverage ratio is</t>
  </si>
  <si>
    <t>If long term interest coverage ratio is</t>
  </si>
  <si>
    <t xml:space="preserve">*Since this synthetic ratings are US based we are adjusting the default spread for India </t>
  </si>
  <si>
    <t>&gt;</t>
  </si>
  <si>
    <t>≤ to</t>
  </si>
  <si>
    <t>Rating is</t>
  </si>
  <si>
    <t>Spread is</t>
  </si>
  <si>
    <t>greater than</t>
  </si>
  <si>
    <t xml:space="preserve">USA </t>
  </si>
  <si>
    <t>D2/D</t>
  </si>
  <si>
    <t xml:space="preserve">India </t>
  </si>
  <si>
    <t>C2/C</t>
  </si>
  <si>
    <t>Adj. Default Spread</t>
  </si>
  <si>
    <t>Equity Risk Premium</t>
  </si>
  <si>
    <t>Country Risk Premium</t>
  </si>
  <si>
    <t>Corporate Tax Rate</t>
  </si>
  <si>
    <t>Ca2/CC</t>
  </si>
  <si>
    <t>Caa/CCC</t>
  </si>
  <si>
    <t>B3/B-</t>
  </si>
  <si>
    <t>1)</t>
  </si>
  <si>
    <t>Torrent Power rating</t>
  </si>
  <si>
    <t>A+</t>
  </si>
  <si>
    <t xml:space="preserve">kd = RFR (India) + Default spread of the BA rated bond (India) </t>
  </si>
  <si>
    <t>B2/B</t>
  </si>
  <si>
    <t>(Crisil)</t>
  </si>
  <si>
    <t>B1/B+</t>
  </si>
  <si>
    <t>2)</t>
  </si>
  <si>
    <t>Kd = interest expenses/ (interest bearing debt)</t>
  </si>
  <si>
    <t>Ba2/BB</t>
  </si>
  <si>
    <t>Ba1/BB+</t>
  </si>
  <si>
    <t>Cost of debt after tax</t>
  </si>
  <si>
    <t>Baa2/BBB</t>
  </si>
  <si>
    <t>A3/A-</t>
  </si>
  <si>
    <t>A2/A</t>
  </si>
  <si>
    <t>A1/A+</t>
  </si>
  <si>
    <t>Aa2/AA</t>
  </si>
  <si>
    <t>Aaa/AAA</t>
  </si>
  <si>
    <t>For smaller and riskier non-financial service firms</t>
  </si>
  <si>
    <t>Wt. of debt</t>
  </si>
  <si>
    <t>Cost of debt(pre-tax)</t>
  </si>
  <si>
    <t>Cost of debt @30 TAX</t>
  </si>
  <si>
    <t>Calculating using synthetic rating adjusted to indian economy</t>
  </si>
  <si>
    <t>Wt of Equity</t>
  </si>
  <si>
    <t>Cost of Equity</t>
  </si>
  <si>
    <t>Calculated using CAPM model</t>
  </si>
  <si>
    <t>NET BLOCK</t>
  </si>
  <si>
    <t>To find growth of the firm we will use reinvestment rate and Return on capital</t>
  </si>
  <si>
    <t>Calculation of ROC</t>
  </si>
  <si>
    <t>Current Asset</t>
  </si>
  <si>
    <t>Trade receivables </t>
  </si>
  <si>
    <t>Total Current Asset</t>
  </si>
  <si>
    <t>Current Liability</t>
  </si>
  <si>
    <t>Total Current Liablity</t>
  </si>
  <si>
    <t>Net Working Capital</t>
  </si>
  <si>
    <t>Non Current Asset</t>
  </si>
  <si>
    <t>Acc Dep</t>
  </si>
  <si>
    <t>Net Non Current Asset</t>
  </si>
  <si>
    <t>Invested Capital</t>
  </si>
  <si>
    <t>PBT</t>
  </si>
  <si>
    <t>EBIT</t>
  </si>
  <si>
    <t>ROIC</t>
  </si>
  <si>
    <t>Calculation of Reinvestment rate</t>
  </si>
  <si>
    <t>Net capex</t>
  </si>
  <si>
    <t>Change in WC</t>
  </si>
  <si>
    <t>Marginal tax rate</t>
  </si>
  <si>
    <t xml:space="preserve">Reinvestment </t>
  </si>
  <si>
    <t>Reinvestment rate</t>
  </si>
  <si>
    <t>Intrinsic Growth</t>
  </si>
  <si>
    <t>Calculation of PV of FCFF</t>
  </si>
  <si>
    <t>EBIT (1-T)</t>
  </si>
  <si>
    <t>Less: Reinvestment Rate</t>
  </si>
  <si>
    <t>Free Cash Flow to Firm</t>
  </si>
  <si>
    <t>Mid Year Convention</t>
  </si>
  <si>
    <t>Discounting Factor</t>
  </si>
  <si>
    <t>PV of FCFF</t>
  </si>
  <si>
    <t>Calculation of Terminal Value</t>
  </si>
  <si>
    <t>Expected Growth Rate</t>
  </si>
  <si>
    <t>Calculated as intrinsic growth rate</t>
  </si>
  <si>
    <t>FCFF (n+1)</t>
  </si>
  <si>
    <t>Terminal Growth rate</t>
  </si>
  <si>
    <t>Power industry CAGR projected</t>
  </si>
  <si>
    <t>Calculated earlier by Kd and Ke</t>
  </si>
  <si>
    <t>Terminal Growth Rate</t>
  </si>
  <si>
    <t>Terminal Value</t>
  </si>
  <si>
    <t>Calculation of Enterprise Value</t>
  </si>
  <si>
    <t>PV of Terminal Value</t>
  </si>
  <si>
    <t>Value of Operating Asset ( Enterprise Value)</t>
  </si>
  <si>
    <t>Add: Cash</t>
  </si>
  <si>
    <t>Less: Debt</t>
  </si>
  <si>
    <t>Value of Equity</t>
  </si>
  <si>
    <t>No. of Shares (in crores)</t>
  </si>
  <si>
    <t>Equity Value per Share</t>
  </si>
  <si>
    <t>Share Price (6 months average)</t>
  </si>
  <si>
    <t>Discount/Premium</t>
  </si>
  <si>
    <t>Verdict</t>
  </si>
  <si>
    <t>Highly Overvalued</t>
  </si>
  <si>
    <t xml:space="preserve">As the market share price is greater than the equity value per share calculated </t>
  </si>
  <si>
    <t>Note : The mid-year convention better reflects the reality that cash flows are received throughout the year, not all at once at year-end.
It leads to slightly higher valuations due to less discounting and is widely used in professional valuations (investment banking, PE, etc.).</t>
  </si>
  <si>
    <t>P/E Ratio</t>
  </si>
  <si>
    <t>P/B ratio</t>
  </si>
  <si>
    <t>P/S ratio</t>
  </si>
  <si>
    <t>PEG ratio</t>
  </si>
  <si>
    <t>ROE</t>
  </si>
  <si>
    <t>EV/EBITDA</t>
  </si>
  <si>
    <t>Net Profit Margin</t>
  </si>
  <si>
    <t>Enterprise Value</t>
  </si>
  <si>
    <t>EPS</t>
  </si>
  <si>
    <t>Outstanding Shares</t>
  </si>
  <si>
    <t>EBITDA</t>
  </si>
  <si>
    <t>Sales</t>
  </si>
  <si>
    <t>Returns% (last 1 year)</t>
  </si>
  <si>
    <t>Tata Power</t>
  </si>
  <si>
    <r>
      <rPr>
        <rFont val="&quot;Inter var&quot;, Inter, sans-serif"/>
        <color rgb="FF1155CC"/>
        <u/>
      </rPr>
      <t>Adani Power</t>
    </r>
  </si>
  <si>
    <r>
      <rPr>
        <rFont val="&quot;Inter var&quot;, Inter, sans-serif"/>
        <color rgb="FF1155CC"/>
        <u/>
      </rPr>
      <t>Torrent Power</t>
    </r>
  </si>
  <si>
    <r>
      <rPr>
        <rFont val="&quot;Inter var&quot;, Inter, sans-serif"/>
        <color rgb="FF1155CC"/>
        <u/>
      </rPr>
      <t>NTPC</t>
    </r>
  </si>
  <si>
    <r>
      <rPr>
        <rFont val="&quot;Inter var&quot;, Inter, sans-serif"/>
        <color rgb="FF1155CC"/>
        <u/>
      </rPr>
      <t>Power Grid Corpn</t>
    </r>
  </si>
  <si>
    <r>
      <rPr>
        <rFont val="&quot;Inter var&quot;, Inter, sans-serif"/>
        <color rgb="FF1155CC"/>
        <u/>
      </rPr>
      <t>Adani Green</t>
    </r>
  </si>
  <si>
    <r>
      <rPr>
        <rFont val="&quot;Inter var&quot;, Inter, sans-serif"/>
        <color rgb="FF1155CC"/>
        <u/>
      </rPr>
      <t>Adani Energy Sol</t>
    </r>
  </si>
  <si>
    <r>
      <rPr>
        <rFont val="&quot;Inter var&quot;, Inter, sans-serif"/>
        <color rgb="FF1155CC"/>
        <u/>
      </rPr>
      <t>JSW Energy</t>
    </r>
  </si>
  <si>
    <r>
      <rPr>
        <rFont val="&quot;Inter var&quot;, Inter, sans-serif"/>
        <color rgb="FF1155CC"/>
        <u/>
      </rPr>
      <t>NHPC Ltd</t>
    </r>
  </si>
  <si>
    <r>
      <rPr>
        <rFont val="&quot;Inter var&quot;, Inter, sans-serif"/>
        <color rgb="FF1155CC"/>
        <u/>
      </rPr>
      <t>SJVN</t>
    </r>
  </si>
  <si>
    <r>
      <rPr>
        <rFont val="&quot;Inter var&quot;, Inter, sans-serif"/>
        <color rgb="FF1155CC"/>
        <u/>
      </rPr>
      <t>NLC India</t>
    </r>
  </si>
  <si>
    <r>
      <rPr>
        <rFont val="&quot;Inter var&quot;, Inter, sans-serif"/>
        <color rgb="FF1155CC"/>
        <u/>
      </rPr>
      <t>CESC</t>
    </r>
  </si>
  <si>
    <r>
      <rPr>
        <rFont val="&quot;Inter var&quot;, Inter, sans-serif"/>
        <color rgb="FF1155CC"/>
        <u/>
      </rPr>
      <t>Nava</t>
    </r>
  </si>
  <si>
    <r>
      <rPr>
        <rFont val="&quot;Inter var&quot;, Inter, sans-serif"/>
        <color rgb="FF1155CC"/>
        <u/>
      </rPr>
      <t>Torrent Power</t>
    </r>
  </si>
  <si>
    <r>
      <rPr>
        <rFont val="&quot;Inter var&quot;, Inter, sans-serif"/>
        <color rgb="FF1155CC"/>
        <u/>
      </rPr>
      <t>Adani Power</t>
    </r>
  </si>
  <si>
    <r>
      <rPr>
        <rFont val="&quot;Inter var&quot;, Inter, sans-serif"/>
        <color rgb="FF1155CC"/>
        <u/>
      </rPr>
      <t>NTPC</t>
    </r>
  </si>
  <si>
    <r>
      <rPr>
        <rFont val="&quot;Inter var&quot;, Inter, sans-serif"/>
        <color rgb="FF1155CC"/>
        <u/>
      </rPr>
      <t>Power Grid Corpn</t>
    </r>
  </si>
  <si>
    <r>
      <rPr>
        <rFont val="&quot;Inter var&quot;, Inter, sans-serif"/>
        <color rgb="FF1155CC"/>
        <u/>
      </rPr>
      <t>Adani Green</t>
    </r>
  </si>
  <si>
    <r>
      <rPr>
        <rFont val="&quot;Inter var&quot;, Inter, sans-serif"/>
        <color rgb="FF1155CC"/>
        <u/>
      </rPr>
      <t>Adani Energy Sol</t>
    </r>
  </si>
  <si>
    <r>
      <rPr>
        <rFont val="&quot;Inter var&quot;, Inter, sans-serif"/>
        <color rgb="FF1155CC"/>
        <u/>
      </rPr>
      <t>JSW Energy</t>
    </r>
  </si>
  <si>
    <r>
      <rPr>
        <rFont val="&quot;Inter var&quot;, Inter, sans-serif"/>
        <color rgb="FF1155CC"/>
        <u/>
      </rPr>
      <t>NHPC Ltd</t>
    </r>
  </si>
  <si>
    <r>
      <rPr>
        <rFont val="&quot;Inter var&quot;, Inter, sans-serif"/>
        <color rgb="FF1155CC"/>
        <u/>
      </rPr>
      <t>SJVN</t>
    </r>
  </si>
  <si>
    <r>
      <rPr>
        <rFont val="&quot;Inter var&quot;, Inter, sans-serif"/>
        <color rgb="FF1155CC"/>
        <u/>
      </rPr>
      <t>NLC India</t>
    </r>
  </si>
  <si>
    <r>
      <rPr>
        <rFont val="&quot;Inter var&quot;, Inter, sans-serif"/>
        <color rgb="FF1155CC"/>
        <u/>
      </rPr>
      <t>CESC</t>
    </r>
  </si>
  <si>
    <r>
      <rPr>
        <rFont val="&quot;Inter var&quot;, Inter, sans-serif"/>
        <color rgb="FF1155CC"/>
        <u/>
      </rPr>
      <t>Nava</t>
    </r>
  </si>
  <si>
    <t xml:space="preserve">Average </t>
  </si>
  <si>
    <t>Regression (P/E vs growth)</t>
  </si>
  <si>
    <t>RESIDUAL OUTPUT</t>
  </si>
  <si>
    <t>Observation</t>
  </si>
  <si>
    <t>Predicted Y</t>
  </si>
  <si>
    <t>Residuals</t>
  </si>
  <si>
    <t xml:space="preserve">Torrent Power </t>
  </si>
  <si>
    <t xml:space="preserve">Predicted </t>
  </si>
  <si>
    <t>Conclusion</t>
  </si>
  <si>
    <t xml:space="preserve">%deviation from predicted </t>
  </si>
  <si>
    <t>UNDERVALUED</t>
  </si>
  <si>
    <t xml:space="preserve">Regression P/B vs growth </t>
  </si>
  <si>
    <t>OVERVALUED</t>
  </si>
  <si>
    <t xml:space="preserve">Regression P/S vs growth </t>
  </si>
  <si>
    <t xml:space="preserve">%change </t>
  </si>
  <si>
    <t xml:space="preserve">PEG vs Growth Regression </t>
  </si>
  <si>
    <t>Irrelevant parameter</t>
  </si>
  <si>
    <t>(One is positive , other negative)</t>
  </si>
  <si>
    <t xml:space="preserve">Analysis </t>
  </si>
  <si>
    <t xml:space="preserve">Verdict </t>
  </si>
  <si>
    <t xml:space="preserve">Analysis on the basis of only average data (no regression) , and inference according to that </t>
  </si>
  <si>
    <t>P/E ratio</t>
  </si>
  <si>
    <t xml:space="preserve">Par Valued </t>
  </si>
  <si>
    <t xml:space="preserve">Over Valued </t>
  </si>
  <si>
    <t xml:space="preserve">Under Valued </t>
  </si>
  <si>
    <t xml:space="preserve">Analysis on the basis of only median data (no regression) , and inference according to that </t>
  </si>
  <si>
    <t>Column 3</t>
  </si>
  <si>
    <t>Balance sheet</t>
  </si>
  <si>
    <t>https://www.screener.in</t>
  </si>
  <si>
    <t>Cash flow statement</t>
  </si>
  <si>
    <t>Shareholding pattern</t>
  </si>
  <si>
    <t xml:space="preserve">Market return </t>
  </si>
  <si>
    <t>https://primeinvestor.in/nifty-50-returns/</t>
  </si>
  <si>
    <t>https://www.investing.com</t>
  </si>
  <si>
    <t>10 year govt bond(https://www.investing.com)</t>
  </si>
  <si>
    <t>Synthetic Rating</t>
  </si>
  <si>
    <t>https://pages.stern.nyu.edu/~adamodar/New_Home_Page/datafile/ratings.html</t>
  </si>
  <si>
    <t>Adjustment to India</t>
  </si>
  <si>
    <t xml:space="preserve">https://pages.stern.nyu.edu/~adamodar/New_Home_Page/datafile/ctryprem.html						</t>
  </si>
  <si>
    <t xml:space="preserve">Financial rating </t>
  </si>
  <si>
    <t>AGM reports of respective company</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</si>
</sst>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d"/>
    <numFmt numFmtId="165" formatCode="m/d/yyyy\ h:mm:ss"/>
    <numFmt numFmtId="166" formatCode="m/d/yyyy"/>
    <numFmt numFmtId="167" formatCode="0.000"/>
    <numFmt numFmtId="168" formatCode="0.0000%"/>
    <numFmt numFmtId="169" formatCode="0.000%"/>
    <numFmt numFmtId="170" formatCode="_(* #,##0.00_);_(* \(#,##0.00\);_(* &quot;-&quot;??_);_(@_)"/>
    <numFmt numFmtId="171" formatCode="mmm-d"/>
    <numFmt numFmtId="172" formatCode="0.00x"/>
  </numFmts>
  <fonts count="90">
    <font>
      <sz val="12.0"/>
      <color theme="1"/>
      <name val="Aptos Narrow"/>
      <scheme val="minor"/>
    </font>
    <font>
      <b/>
      <sz val="28.0"/>
      <color theme="1"/>
      <name val="Arial"/>
    </font>
    <font/>
    <font>
      <b/>
      <sz val="23.0"/>
      <color theme="1"/>
      <name val="Arial"/>
    </font>
    <font>
      <color theme="1"/>
      <name val="Aptos Narrow"/>
      <scheme val="minor"/>
    </font>
    <font>
      <b/>
      <sz val="12.0"/>
      <color theme="1"/>
      <name val="Aptos Narrow"/>
    </font>
    <font>
      <u/>
      <sz val="12.0"/>
      <color rgb="FF0000FF"/>
      <name val="Arial"/>
    </font>
    <font>
      <b/>
      <sz val="12.0"/>
      <color theme="1"/>
      <name val="Arial"/>
    </font>
    <font>
      <u/>
      <color rgb="FF0000FF"/>
      <name val="Arial"/>
    </font>
    <font>
      <b/>
      <sz val="12.0"/>
      <color rgb="FF22222F"/>
      <name val="Inter"/>
    </font>
    <font>
      <sz val="12.0"/>
      <color rgb="FF22222F"/>
      <name val="Inter"/>
    </font>
    <font>
      <b/>
      <sz val="12.0"/>
      <color theme="1"/>
      <name val="Inter"/>
    </font>
    <font>
      <color theme="1"/>
      <name val="Arial"/>
    </font>
    <font>
      <sz val="12.0"/>
      <color rgb="FF22222F"/>
      <name val="Arial"/>
    </font>
    <font>
      <sz val="12.0"/>
      <color theme="1"/>
      <name val="Aptos Narrow"/>
    </font>
    <font>
      <sz val="12.0"/>
      <color theme="1"/>
      <name val="Arial"/>
    </font>
    <font>
      <sz val="12.0"/>
      <color theme="1"/>
      <name val="Inter"/>
    </font>
    <font>
      <u/>
      <sz val="12.0"/>
      <color rgb="FF0000FF"/>
      <name val="Inter"/>
    </font>
    <font>
      <sz val="12.0"/>
      <color rgb="FF606F7B"/>
      <name val="Inter"/>
    </font>
    <font>
      <sz val="12.0"/>
      <color theme="10"/>
      <name val="Aptos Narrow"/>
    </font>
    <font>
      <sz val="12.0"/>
      <color rgb="FF000000"/>
      <name val="Arial"/>
    </font>
    <font>
      <b/>
      <sz val="12.0"/>
      <color rgb="FF22222F"/>
      <name val="Arial"/>
    </font>
    <font>
      <b/>
      <sz val="11.0"/>
      <color rgb="FF000000"/>
      <name val="Calibri"/>
    </font>
    <font>
      <b/>
      <color theme="1"/>
      <name val="Arial"/>
    </font>
    <font>
      <b/>
      <color theme="1"/>
      <name val="Aptos Narrow"/>
      <scheme val="minor"/>
    </font>
    <font>
      <b/>
      <sz val="12.0"/>
      <color rgb="FF000000"/>
      <name val="Arial"/>
    </font>
    <font>
      <sz val="11.0"/>
      <color rgb="FF000000"/>
      <name val="Calibri"/>
    </font>
    <font>
      <sz val="11.0"/>
      <color rgb="FF006100"/>
      <name val="Calibri"/>
    </font>
    <font>
      <sz val="14.0"/>
      <color rgb="FF333333"/>
      <name val="Arial"/>
    </font>
    <font>
      <sz val="11.0"/>
      <color rgb="FF333333"/>
      <name val="Calibri"/>
    </font>
    <font>
      <sz val="11.0"/>
      <color rgb="FF22222F"/>
      <name val="Arial"/>
    </font>
    <font>
      <sz val="8.0"/>
      <color rgb="FF333333"/>
      <name val="Fira Sans"/>
    </font>
    <font>
      <sz val="11.0"/>
      <color rgb="FF9C0006"/>
      <name val="Calibri"/>
    </font>
    <font>
      <sz val="11.0"/>
      <color theme="1"/>
      <name val="Calibri"/>
    </font>
    <font>
      <sz val="20.0"/>
      <color theme="1"/>
      <name val="Arial Rounded"/>
    </font>
    <font>
      <b/>
      <sz val="10.0"/>
      <color rgb="FFFFFFFF"/>
      <name val="Arial"/>
    </font>
    <font>
      <sz val="10.0"/>
      <color rgb="FF000000"/>
      <name val="Arial"/>
    </font>
    <font>
      <b/>
      <sz val="10.0"/>
      <color rgb="FF001F5F"/>
      <name val="Arial"/>
    </font>
    <font>
      <sz val="10.0"/>
      <color rgb="FF001F5F"/>
      <name val="Arial"/>
    </font>
    <font>
      <b/>
      <sz val="10.0"/>
      <color rgb="FF000000"/>
      <name val="Arial"/>
    </font>
    <font>
      <b/>
      <sz val="10.0"/>
      <color theme="0"/>
      <name val="Arial"/>
    </font>
    <font>
      <b/>
      <sz val="28.0"/>
      <color theme="1"/>
      <name val="Aptos Narrow"/>
    </font>
    <font>
      <b/>
      <sz val="10.0"/>
      <color rgb="FF000000"/>
      <name val="Helvetica Neue"/>
    </font>
    <font>
      <b/>
      <sz val="16.0"/>
      <color theme="1"/>
      <name val="Aptos Narrow"/>
    </font>
    <font>
      <sz val="16.0"/>
      <color theme="1"/>
      <name val="Aptos Narrow"/>
    </font>
    <font>
      <sz val="16.0"/>
      <color rgb="FF000000"/>
      <name val="Helvetica Neue"/>
    </font>
    <font>
      <sz val="10.0"/>
      <color rgb="FF000000"/>
      <name val="Helvetica Neue"/>
    </font>
    <font>
      <color theme="1"/>
      <name val="Helvetica Neue"/>
    </font>
    <font>
      <b/>
      <sz val="14.0"/>
      <color theme="1"/>
      <name val="Aptos Narrow"/>
    </font>
    <font>
      <sz val="18.0"/>
      <color theme="1"/>
      <name val="Arial"/>
    </font>
    <font>
      <sz val="12.0"/>
      <color rgb="FF000000"/>
      <name val="&quot;Aptos Narrow&quot;"/>
    </font>
    <font>
      <i/>
      <sz val="12.0"/>
      <color rgb="FF000000"/>
      <name val="&quot;Aptos Narrow&quot;"/>
    </font>
    <font>
      <sz val="14.0"/>
      <color theme="1"/>
      <name val="Arial"/>
    </font>
    <font>
      <u/>
      <sz val="12.0"/>
      <color rgb="FF0000FF"/>
      <name val="Arial"/>
    </font>
    <font>
      <u/>
      <sz val="12.0"/>
      <color theme="10"/>
      <name val="Aptos Narrow"/>
    </font>
    <font>
      <color rgb="FF212529"/>
      <name val="&quot;Proxima Nova&quot;"/>
    </font>
    <font>
      <sz val="14.0"/>
      <color rgb="FF000000"/>
      <name val="Times"/>
    </font>
    <font>
      <b/>
      <sz val="14.0"/>
      <color rgb="FF000000"/>
      <name val="Times"/>
    </font>
    <font>
      <b/>
      <sz val="10.0"/>
      <color theme="1"/>
      <name val="Times New Roman"/>
    </font>
    <font>
      <i/>
      <sz val="10.0"/>
      <color theme="1"/>
      <name val="Times New Roman"/>
    </font>
    <font>
      <sz val="10.0"/>
      <color theme="1"/>
      <name val="Arimo"/>
    </font>
    <font>
      <sz val="10.0"/>
      <color theme="1"/>
      <name val="Times New Roman"/>
    </font>
    <font>
      <b/>
      <sz val="12.0"/>
      <color theme="1"/>
      <name val="Times New Roman"/>
    </font>
    <font>
      <sz val="10.0"/>
      <color theme="1"/>
      <name val="Calibri"/>
    </font>
    <font>
      <sz val="12.0"/>
      <color theme="1"/>
      <name val="Helvetica Neue"/>
    </font>
    <font>
      <b/>
      <i/>
      <sz val="12.0"/>
      <color theme="1"/>
      <name val="Times New Roman"/>
    </font>
    <font>
      <b/>
      <i/>
      <sz val="10.0"/>
      <color theme="1"/>
      <name val="Times New Roman"/>
    </font>
    <font>
      <b/>
      <sz val="12.0"/>
      <color theme="1"/>
      <name val="Helvetica Neue"/>
    </font>
    <font>
      <sz val="14.0"/>
      <color rgb="FF22222F"/>
      <name val="Arial"/>
    </font>
    <font>
      <b/>
      <sz val="13.0"/>
      <color rgb="FF000000"/>
      <name val="Times"/>
    </font>
    <font>
      <sz val="20.0"/>
      <color theme="1"/>
      <name val="Times New Roman"/>
    </font>
    <font>
      <sz val="15.0"/>
      <color theme="1"/>
      <name val="Aptos Narrow"/>
    </font>
    <font>
      <sz val="15.0"/>
      <color theme="1"/>
      <name val="Arial"/>
    </font>
    <font>
      <b/>
      <sz val="20.0"/>
      <color theme="1"/>
      <name val="Aptos Narrow"/>
    </font>
    <font>
      <sz val="12.0"/>
      <color theme="0"/>
      <name val="Aptos Narrow"/>
    </font>
    <font>
      <sz val="11.0"/>
      <color theme="0"/>
      <name val="Aptos Narrow"/>
    </font>
    <font>
      <color rgb="FF212529"/>
      <name val="Arial"/>
    </font>
    <font>
      <b/>
      <sz val="11.0"/>
      <color rgb="FF22222F"/>
      <name val="Arial"/>
    </font>
    <font>
      <sz val="12.0"/>
      <color rgb="FF000000"/>
      <name val="&quot;Google Sans&quot;"/>
    </font>
    <font>
      <sz val="12.0"/>
      <color rgb="FF606F7B"/>
      <name val="&quot;Inter var&quot;"/>
    </font>
    <font>
      <color theme="1"/>
      <name val="&quot;Inter var&quot;"/>
    </font>
    <font>
      <color rgb="FF000000"/>
      <name val="Arial"/>
    </font>
    <font>
      <color rgb="FF22222F"/>
      <name val="&quot;Inter var&quot;"/>
    </font>
    <font>
      <u/>
      <color rgb="FF0000FF"/>
      <name val="Arial"/>
    </font>
    <font>
      <color rgb="FF22222F"/>
      <name val="Arial"/>
    </font>
    <font>
      <u/>
      <color rgb="FF0000FF"/>
      <name val="&quot;Inter var&quot;"/>
    </font>
    <font>
      <u/>
      <color rgb="FF0000FF"/>
      <name val="&quot;Inter var&quot;"/>
    </font>
    <font>
      <i/>
      <color theme="1"/>
      <name val="Aptos Narrow"/>
      <scheme val="minor"/>
    </font>
    <font>
      <u/>
      <sz val="12.0"/>
      <color rgb="FF467886"/>
      <name val="Aptos Narrow"/>
    </font>
    <font>
      <u/>
      <sz val="12.0"/>
      <color rgb="FF0000FF"/>
      <name val="Arial"/>
    </font>
  </fonts>
  <fills count="29">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EFEFEF"/>
        <bgColor rgb="FFEFEFEF"/>
      </patternFill>
    </fill>
    <fill>
      <patternFill patternType="solid">
        <fgColor rgb="FFF8F8FC"/>
        <bgColor rgb="FFF8F8FC"/>
      </patternFill>
    </fill>
    <fill>
      <patternFill patternType="solid">
        <fgColor rgb="FFFFFFFF"/>
        <bgColor rgb="FFFFFFFF"/>
      </patternFill>
    </fill>
    <fill>
      <patternFill patternType="solid">
        <fgColor rgb="FFB4C6E7"/>
        <bgColor rgb="FFB4C6E7"/>
      </patternFill>
    </fill>
    <fill>
      <patternFill patternType="solid">
        <fgColor theme="0"/>
        <bgColor theme="0"/>
      </patternFill>
    </fill>
    <fill>
      <patternFill patternType="solid">
        <fgColor rgb="FF92D050"/>
        <bgColor rgb="FF92D050"/>
      </patternFill>
    </fill>
    <fill>
      <patternFill patternType="solid">
        <fgColor rgb="FFF8CBAD"/>
        <bgColor rgb="FFF8CBAD"/>
      </patternFill>
    </fill>
    <fill>
      <patternFill patternType="solid">
        <fgColor rgb="FFDBDBDB"/>
        <bgColor rgb="FFDBDBDB"/>
      </patternFill>
    </fill>
    <fill>
      <patternFill patternType="solid">
        <fgColor rgb="FFD9D9D9"/>
        <bgColor rgb="FFD9D9D9"/>
      </patternFill>
    </fill>
    <fill>
      <patternFill patternType="solid">
        <fgColor rgb="FFFFE699"/>
        <bgColor rgb="FFFFE699"/>
      </patternFill>
    </fill>
    <fill>
      <patternFill patternType="solid">
        <fgColor rgb="FFFFD966"/>
        <bgColor rgb="FFFFD966"/>
      </patternFill>
    </fill>
    <fill>
      <patternFill patternType="solid">
        <fgColor rgb="FF22222F"/>
        <bgColor rgb="FF22222F"/>
      </patternFill>
    </fill>
    <fill>
      <patternFill patternType="solid">
        <fgColor rgb="FF00B050"/>
        <bgColor rgb="FF00B050"/>
      </patternFill>
    </fill>
    <fill>
      <patternFill patternType="solid">
        <fgColor theme="1"/>
        <bgColor theme="1"/>
      </patternFill>
    </fill>
    <fill>
      <patternFill patternType="solid">
        <fgColor rgb="FF0070C0"/>
        <bgColor rgb="FF0070C0"/>
      </patternFill>
    </fill>
    <fill>
      <patternFill patternType="solid">
        <fgColor rgb="FF00FF00"/>
        <bgColor rgb="FF00FF00"/>
      </patternFill>
    </fill>
    <fill>
      <patternFill patternType="solid">
        <fgColor rgb="FFCCCCCC"/>
        <bgColor rgb="FFCCCCCC"/>
      </patternFill>
    </fill>
    <fill>
      <patternFill patternType="solid">
        <fgColor rgb="FFFF9900"/>
        <bgColor rgb="FFFF9900"/>
      </patternFill>
    </fill>
    <fill>
      <patternFill patternType="solid">
        <fgColor rgb="FFB7B7B7"/>
        <bgColor rgb="FFB7B7B7"/>
      </patternFill>
    </fill>
    <fill>
      <patternFill patternType="solid">
        <fgColor rgb="FFEA9999"/>
        <bgColor rgb="FFEA9999"/>
      </patternFill>
    </fill>
    <fill>
      <patternFill patternType="solid">
        <fgColor rgb="FFF4CCCC"/>
        <bgColor rgb="FFF4CCCC"/>
      </patternFill>
    </fill>
    <fill>
      <patternFill patternType="solid">
        <fgColor rgb="FF4A86E8"/>
        <bgColor rgb="FF4A86E8"/>
      </patternFill>
    </fill>
    <fill>
      <patternFill patternType="solid">
        <fgColor rgb="FFEEECE1"/>
        <bgColor rgb="FFEEECE1"/>
      </patternFill>
    </fill>
    <fill>
      <patternFill patternType="solid">
        <fgColor theme="7"/>
        <bgColor theme="7"/>
      </patternFill>
    </fill>
    <fill>
      <patternFill patternType="solid">
        <fgColor theme="5"/>
        <bgColor theme="5"/>
      </patternFill>
    </fill>
  </fills>
  <borders count="6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bottom style="thin">
        <color rgb="FF000000"/>
      </bottom>
    </border>
    <border>
      <top/>
      <bottom style="thin">
        <color rgb="FFE0E0E0"/>
      </bottom>
    </border>
    <border>
      <right/>
      <top/>
      <bottom/>
    </border>
    <border>
      <top/>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thin">
        <color rgb="FF000000"/>
      </top>
    </border>
    <border>
      <right style="medium">
        <color rgb="FF000000"/>
      </right>
      <top style="thin">
        <color rgb="FF000000"/>
      </top>
    </border>
    <border>
      <left style="medium">
        <color rgb="FF000000"/>
      </left>
    </border>
    <border>
      <right style="medium">
        <color rgb="FF000000"/>
      </right>
    </border>
    <border>
      <bottom style="thin">
        <color rgb="FFE0E0E0"/>
      </bottom>
    </border>
    <border>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left/>
      <top/>
      <bottom/>
    </border>
    <border>
      <top/>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style="medium">
        <color rgb="FF000000"/>
      </right>
      <bottom style="thin">
        <color rgb="FF000000"/>
      </bottom>
    </border>
    <border>
      <left style="medium">
        <color rgb="FF000000"/>
      </left>
      <top/>
      <bottom style="medium">
        <color rgb="FF000000"/>
      </bottom>
    </border>
    <border>
      <right style="thin">
        <color rgb="FF000000"/>
      </right>
      <top/>
      <bottom style="medium">
        <color rgb="FF000000"/>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medium">
        <color rgb="FF000000"/>
      </top>
    </border>
    <border>
      <left/>
      <right/>
      <top style="medium">
        <color rgb="FF000000"/>
      </top>
      <bottom style="medium">
        <color rgb="FF000000"/>
      </bottom>
    </border>
    <border>
      <left style="thick">
        <color rgb="FF000000"/>
      </left>
      <right style="thick">
        <color rgb="FF000000"/>
      </right>
      <top style="medium">
        <color rgb="FF000000"/>
      </top>
      <bottom style="medium">
        <color rgb="FF000000"/>
      </bottom>
    </border>
    <border>
      <left style="thick">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thick">
        <color rgb="FF000000"/>
      </left>
      <top style="medium">
        <color rgb="FF000000"/>
      </top>
      <bottom style="medium">
        <color rgb="FF000000"/>
      </bottom>
    </border>
    <border>
      <bottom style="thin">
        <color rgb="FFDBE4F0"/>
      </bottom>
    </border>
  </borders>
  <cellStyleXfs count="1">
    <xf borderId="0" fillId="0" fontId="0" numFmtId="0" applyAlignment="1" applyFont="1"/>
  </cellStyleXfs>
  <cellXfs count="51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1" fillId="3" fontId="3" numFmtId="0" xfId="0" applyAlignment="1" applyBorder="1" applyFill="1" applyFont="1">
      <alignment horizontal="center" readingOrder="0"/>
    </xf>
    <xf borderId="0" fillId="0" fontId="4" numFmtId="0" xfId="0" applyAlignment="1" applyFont="1">
      <alignment horizontal="left" readingOrder="0" shrinkToFit="0" vertical="center" wrapText="0"/>
    </xf>
    <xf borderId="0" fillId="0" fontId="4" numFmtId="0" xfId="0" applyAlignment="1" applyFont="1">
      <alignment shrinkToFit="0" vertical="center" wrapText="0"/>
    </xf>
    <xf borderId="0" fillId="0" fontId="5" numFmtId="0" xfId="0" applyAlignment="1" applyFont="1">
      <alignment shrinkToFit="0" vertical="center" wrapText="0"/>
    </xf>
    <xf borderId="0" fillId="0" fontId="6" numFmtId="0" xfId="0" applyAlignment="1" applyFont="1">
      <alignment readingOrder="0" shrinkToFit="0" vertical="center" wrapText="0"/>
    </xf>
    <xf borderId="4" fillId="0" fontId="4"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4" numFmtId="0" xfId="0" applyAlignment="1" applyFont="1">
      <alignment readingOrder="0" shrinkToFit="0" vertical="center" wrapText="0"/>
    </xf>
    <xf borderId="12" fillId="2" fontId="5" numFmtId="0" xfId="0" applyAlignment="1" applyBorder="1" applyFont="1">
      <alignment horizontal="left" vertical="center"/>
    </xf>
    <xf borderId="12" fillId="2" fontId="7" numFmtId="17" xfId="0" applyAlignment="1" applyBorder="1" applyFont="1" applyNumberFormat="1">
      <alignment horizontal="center" vertical="center"/>
    </xf>
    <xf borderId="12" fillId="4" fontId="9" numFmtId="0" xfId="0" applyAlignment="1" applyBorder="1" applyFill="1" applyFont="1">
      <alignment horizontal="left"/>
    </xf>
    <xf borderId="12" fillId="5" fontId="10" numFmtId="0" xfId="0" applyAlignment="1" applyBorder="1" applyFill="1" applyFont="1">
      <alignment horizontal="center"/>
    </xf>
    <xf borderId="12" fillId="6" fontId="10" numFmtId="3" xfId="0" applyAlignment="1" applyBorder="1" applyFill="1" applyFont="1" applyNumberFormat="1">
      <alignment horizontal="center"/>
    </xf>
    <xf borderId="12" fillId="4" fontId="11" numFmtId="0" xfId="0" applyAlignment="1" applyBorder="1" applyFont="1">
      <alignment horizontal="left"/>
    </xf>
    <xf borderId="12" fillId="5" fontId="10" numFmtId="3" xfId="0" applyAlignment="1" applyBorder="1" applyFont="1" applyNumberFormat="1">
      <alignment horizontal="center"/>
    </xf>
    <xf borderId="12" fillId="6" fontId="10" numFmtId="0" xfId="0" applyAlignment="1" applyBorder="1" applyFont="1">
      <alignment horizontal="center"/>
    </xf>
    <xf borderId="12" fillId="3" fontId="10" numFmtId="3" xfId="0" applyAlignment="1" applyBorder="1" applyFont="1" applyNumberFormat="1">
      <alignment horizontal="center"/>
    </xf>
    <xf borderId="0" fillId="0" fontId="12" numFmtId="0" xfId="0" applyAlignment="1" applyFont="1">
      <alignment readingOrder="0"/>
    </xf>
    <xf borderId="12" fillId="3" fontId="10" numFmtId="0" xfId="0" applyAlignment="1" applyBorder="1" applyFont="1">
      <alignment horizontal="center"/>
    </xf>
    <xf borderId="12" fillId="4" fontId="7" numFmtId="0" xfId="0" applyAlignment="1" applyBorder="1" applyFont="1">
      <alignment vertical="center"/>
    </xf>
    <xf borderId="12" fillId="5" fontId="10" numFmtId="0" xfId="0" applyAlignment="1" applyBorder="1" applyFont="1">
      <alignment horizontal="center" vertical="center"/>
    </xf>
    <xf borderId="12" fillId="0" fontId="13" numFmtId="3" xfId="0" applyAlignment="1" applyBorder="1" applyFont="1" applyNumberFormat="1">
      <alignment horizontal="center" vertical="center"/>
    </xf>
    <xf borderId="12" fillId="4" fontId="5" numFmtId="3" xfId="0" applyAlignment="1" applyBorder="1" applyFont="1" applyNumberFormat="1">
      <alignment vertical="center"/>
    </xf>
    <xf borderId="12" fillId="6" fontId="10" numFmtId="3" xfId="0" applyAlignment="1" applyBorder="1" applyFont="1" applyNumberFormat="1">
      <alignment horizontal="center" vertical="center"/>
    </xf>
    <xf borderId="12" fillId="0" fontId="14" numFmtId="0" xfId="0" applyAlignment="1" applyBorder="1" applyFont="1">
      <alignment horizontal="center" vertical="center"/>
    </xf>
    <xf borderId="12" fillId="4" fontId="7" numFmtId="0" xfId="0" applyAlignment="1" applyBorder="1" applyFont="1">
      <alignment readingOrder="0" vertical="center"/>
    </xf>
    <xf borderId="12" fillId="0" fontId="14" numFmtId="0" xfId="0" applyAlignment="1" applyBorder="1" applyFont="1">
      <alignment horizontal="center" vertical="center"/>
    </xf>
    <xf borderId="1" fillId="3" fontId="12" numFmtId="0" xfId="0" applyAlignment="1" applyBorder="1" applyFont="1">
      <alignment readingOrder="0"/>
    </xf>
    <xf borderId="0" fillId="0" fontId="13" numFmtId="3" xfId="0" applyFont="1" applyNumberFormat="1"/>
    <xf borderId="12" fillId="2" fontId="5" numFmtId="0" xfId="0" applyAlignment="1" applyBorder="1" applyFont="1">
      <alignment horizontal="center" vertical="center"/>
    </xf>
    <xf borderId="12" fillId="0" fontId="11" numFmtId="0" xfId="0" applyAlignment="1" applyBorder="1" applyFont="1">
      <alignment horizontal="left"/>
    </xf>
    <xf borderId="12" fillId="5" fontId="10" numFmtId="3" xfId="0" applyAlignment="1" applyBorder="1" applyFont="1" applyNumberFormat="1">
      <alignment horizontal="right"/>
    </xf>
    <xf borderId="12" fillId="0" fontId="9" numFmtId="0" xfId="0" applyAlignment="1" applyBorder="1" applyFont="1">
      <alignment horizontal="left"/>
    </xf>
    <xf borderId="12" fillId="5" fontId="10" numFmtId="10" xfId="0" applyAlignment="1" applyBorder="1" applyFont="1" applyNumberFormat="1">
      <alignment horizontal="right"/>
    </xf>
    <xf borderId="12" fillId="6" fontId="10" numFmtId="3" xfId="0" applyAlignment="1" applyBorder="1" applyFont="1" applyNumberFormat="1">
      <alignment horizontal="right"/>
    </xf>
    <xf borderId="12" fillId="6" fontId="10" numFmtId="9" xfId="0" applyAlignment="1" applyBorder="1" applyFont="1" applyNumberFormat="1">
      <alignment horizontal="right"/>
    </xf>
    <xf borderId="12" fillId="5" fontId="10" numFmtId="0" xfId="0" applyAlignment="1" applyBorder="1" applyFont="1">
      <alignment horizontal="right"/>
    </xf>
    <xf borderId="12" fillId="6" fontId="10" numFmtId="0" xfId="0" applyAlignment="1" applyBorder="1" applyFont="1">
      <alignment horizontal="right"/>
    </xf>
    <xf borderId="12" fillId="5" fontId="10" numFmtId="9" xfId="0" applyAlignment="1" applyBorder="1" applyFont="1" applyNumberFormat="1">
      <alignment horizontal="right"/>
    </xf>
    <xf borderId="12" fillId="2" fontId="14" numFmtId="0" xfId="0" applyAlignment="1" applyBorder="1" applyFont="1">
      <alignment horizontal="left" vertical="center"/>
    </xf>
    <xf borderId="12" fillId="2" fontId="7" numFmtId="17" xfId="0" applyAlignment="1" applyBorder="1" applyFont="1" applyNumberFormat="1">
      <alignment horizontal="left" vertical="center"/>
    </xf>
    <xf borderId="12" fillId="0" fontId="10" numFmtId="0" xfId="0" applyAlignment="1" applyBorder="1" applyFont="1">
      <alignment horizontal="left"/>
    </xf>
    <xf borderId="12" fillId="0" fontId="13" numFmtId="0" xfId="0" applyAlignment="1" applyBorder="1" applyFont="1">
      <alignment horizontal="left" vertical="center"/>
    </xf>
    <xf borderId="12" fillId="6" fontId="10" numFmtId="3" xfId="0" applyAlignment="1" applyBorder="1" applyFont="1" applyNumberFormat="1">
      <alignment horizontal="right" vertical="center"/>
    </xf>
    <xf borderId="12" fillId="6" fontId="10" numFmtId="0" xfId="0" applyAlignment="1" applyBorder="1" applyFont="1">
      <alignment horizontal="right" vertical="center"/>
    </xf>
    <xf borderId="12" fillId="0" fontId="10" numFmtId="0" xfId="0" applyAlignment="1" applyBorder="1" applyFont="1">
      <alignment horizontal="left" vertical="center"/>
    </xf>
    <xf borderId="12" fillId="2" fontId="15" numFmtId="17" xfId="0" applyAlignment="1" applyBorder="1" applyFont="1" applyNumberFormat="1">
      <alignment horizontal="left" vertical="center"/>
    </xf>
    <xf borderId="12" fillId="0" fontId="16" numFmtId="0" xfId="0" applyAlignment="1" applyBorder="1" applyFont="1">
      <alignment horizontal="left" vertical="center"/>
    </xf>
    <xf borderId="12" fillId="5" fontId="10" numFmtId="10" xfId="0" applyAlignment="1" applyBorder="1" applyFont="1" applyNumberFormat="1">
      <alignment horizontal="right" vertical="center"/>
    </xf>
    <xf borderId="12" fillId="0" fontId="17" numFmtId="0" xfId="0" applyAlignment="1" applyBorder="1" applyFont="1">
      <alignment horizontal="left" vertical="center"/>
    </xf>
    <xf borderId="12" fillId="5" fontId="10" numFmtId="0" xfId="0" applyAlignment="1" applyBorder="1" applyFont="1">
      <alignment horizontal="right" vertical="center"/>
    </xf>
    <xf borderId="0" fillId="0" fontId="13" numFmtId="17" xfId="0" applyFont="1" applyNumberFormat="1"/>
    <xf borderId="0" fillId="0" fontId="13" numFmtId="10" xfId="0" applyFont="1" applyNumberFormat="1"/>
    <xf borderId="0" fillId="0" fontId="13" numFmtId="0" xfId="0" applyFont="1"/>
    <xf borderId="12" fillId="6" fontId="10" numFmtId="10" xfId="0" applyAlignment="1" applyBorder="1" applyFont="1" applyNumberFormat="1">
      <alignment horizontal="right" vertical="center"/>
    </xf>
    <xf borderId="12" fillId="0" fontId="18" numFmtId="0" xfId="0" applyAlignment="1" applyBorder="1" applyFont="1">
      <alignment horizontal="left" vertical="center"/>
    </xf>
    <xf borderId="12" fillId="6" fontId="18" numFmtId="0" xfId="0" applyAlignment="1" applyBorder="1" applyFont="1">
      <alignment horizontal="right" vertical="center"/>
    </xf>
    <xf borderId="0" fillId="0" fontId="19" numFmtId="0" xfId="0" applyFont="1"/>
    <xf borderId="12" fillId="2" fontId="20" numFmtId="0" xfId="0" applyBorder="1" applyFont="1"/>
    <xf borderId="12" fillId="2" fontId="21" numFmtId="17" xfId="0" applyAlignment="1" applyBorder="1" applyFont="1" applyNumberFormat="1">
      <alignment horizontal="center"/>
    </xf>
    <xf borderId="12" fillId="2" fontId="22" numFmtId="0" xfId="0" applyAlignment="1" applyBorder="1" applyFont="1">
      <alignment horizontal="center"/>
    </xf>
    <xf borderId="0" fillId="2" fontId="23" numFmtId="0" xfId="0" applyAlignment="1" applyFont="1">
      <alignment horizontal="center" readingOrder="0"/>
    </xf>
    <xf borderId="0" fillId="2" fontId="24" numFmtId="0" xfId="0" applyAlignment="1" applyFont="1">
      <alignment horizontal="center"/>
    </xf>
    <xf borderId="1" fillId="7" fontId="25" numFmtId="0" xfId="0" applyAlignment="1" applyBorder="1" applyFill="1" applyFont="1">
      <alignment horizontal="left"/>
    </xf>
    <xf borderId="12" fillId="7" fontId="20" numFmtId="0" xfId="0" applyBorder="1" applyFont="1"/>
    <xf borderId="12" fillId="8" fontId="26" numFmtId="10" xfId="0" applyAlignment="1" applyBorder="1" applyFill="1" applyFont="1" applyNumberFormat="1">
      <alignment horizontal="center"/>
    </xf>
    <xf borderId="3" fillId="9" fontId="26" numFmtId="0" xfId="0" applyAlignment="1" applyBorder="1" applyFill="1" applyFont="1">
      <alignment horizontal="center"/>
    </xf>
    <xf borderId="12" fillId="0" fontId="12" numFmtId="0" xfId="0" applyAlignment="1" applyBorder="1" applyFont="1">
      <alignment horizontal="center" readingOrder="0"/>
    </xf>
    <xf borderId="12" fillId="0" fontId="4" numFmtId="10" xfId="0" applyAlignment="1" applyBorder="1" applyFont="1" applyNumberFormat="1">
      <alignment horizontal="center"/>
    </xf>
    <xf borderId="0" fillId="0" fontId="4" numFmtId="0" xfId="0" applyAlignment="1" applyFont="1">
      <alignment horizontal="center"/>
    </xf>
    <xf borderId="12" fillId="0" fontId="4" numFmtId="0" xfId="0" applyAlignment="1" applyBorder="1" applyFont="1">
      <alignment horizontal="center" readingOrder="0"/>
    </xf>
    <xf borderId="0" fillId="0" fontId="4" numFmtId="0" xfId="0" applyAlignment="1" applyFont="1">
      <alignment horizontal="center" readingOrder="0"/>
    </xf>
    <xf borderId="12" fillId="8" fontId="27" numFmtId="0" xfId="0" applyAlignment="1" applyBorder="1" applyFont="1">
      <alignment horizontal="center" readingOrder="0"/>
    </xf>
    <xf borderId="13" fillId="6" fontId="26" numFmtId="0" xfId="0" applyAlignment="1" applyBorder="1" applyFont="1">
      <alignment horizontal="center"/>
    </xf>
    <xf borderId="12" fillId="0" fontId="4" numFmtId="0" xfId="0" applyAlignment="1" applyBorder="1" applyFont="1">
      <alignment horizontal="center"/>
    </xf>
    <xf borderId="13" fillId="9" fontId="26" numFmtId="9" xfId="0" applyAlignment="1" applyBorder="1" applyFont="1" applyNumberFormat="1">
      <alignment horizontal="center"/>
    </xf>
    <xf borderId="13" fillId="9" fontId="26" numFmtId="10" xfId="0" applyAlignment="1" applyBorder="1" applyFont="1" applyNumberFormat="1">
      <alignment horizontal="center"/>
    </xf>
    <xf borderId="0" fillId="0" fontId="28" numFmtId="0" xfId="0" applyAlignment="1" applyFont="1">
      <alignment horizontal="center"/>
    </xf>
    <xf borderId="0" fillId="0" fontId="28" numFmtId="0" xfId="0" applyFont="1"/>
    <xf borderId="12" fillId="0" fontId="29" numFmtId="10" xfId="0" applyAlignment="1" applyBorder="1" applyFont="1" applyNumberFormat="1">
      <alignment horizontal="center" vertical="top"/>
    </xf>
    <xf borderId="13" fillId="9" fontId="30" numFmtId="10" xfId="0" applyAlignment="1" applyBorder="1" applyFont="1" applyNumberFormat="1">
      <alignment horizontal="center"/>
    </xf>
    <xf borderId="14" fillId="6" fontId="31" numFmtId="0" xfId="0" applyAlignment="1" applyBorder="1" applyFont="1">
      <alignment horizontal="center" vertical="top"/>
    </xf>
    <xf borderId="0" fillId="6" fontId="4" numFmtId="0" xfId="0" applyFont="1"/>
    <xf borderId="12" fillId="6" fontId="26" numFmtId="10" xfId="0" applyAlignment="1" applyBorder="1" applyFont="1" applyNumberFormat="1">
      <alignment horizontal="center"/>
    </xf>
    <xf borderId="12" fillId="6" fontId="12" numFmtId="0" xfId="0" applyAlignment="1" applyBorder="1" applyFont="1">
      <alignment horizontal="center" readingOrder="0"/>
    </xf>
    <xf borderId="0" fillId="6" fontId="4" numFmtId="0" xfId="0" applyAlignment="1" applyFont="1">
      <alignment horizontal="center"/>
    </xf>
    <xf borderId="12" fillId="8" fontId="32" numFmtId="0" xfId="0" applyAlignment="1" applyBorder="1" applyFont="1">
      <alignment horizontal="center" readingOrder="0"/>
    </xf>
    <xf borderId="12" fillId="8" fontId="26" numFmtId="9" xfId="0" applyAlignment="1" applyBorder="1" applyFont="1" applyNumberFormat="1">
      <alignment horizontal="center"/>
    </xf>
    <xf borderId="12" fillId="0" fontId="4" numFmtId="9" xfId="0" applyAlignment="1" applyBorder="1" applyFont="1" applyNumberFormat="1">
      <alignment horizontal="center"/>
    </xf>
    <xf borderId="12" fillId="8" fontId="26" numFmtId="0" xfId="0" applyAlignment="1" applyBorder="1" applyFont="1">
      <alignment horizontal="center"/>
    </xf>
    <xf borderId="13" fillId="9" fontId="26" numFmtId="0" xfId="0" applyAlignment="1" applyBorder="1" applyFont="1">
      <alignment horizontal="center"/>
    </xf>
    <xf borderId="12" fillId="0" fontId="29" numFmtId="0" xfId="0" applyAlignment="1" applyBorder="1" applyFont="1">
      <alignment horizontal="center" vertical="top"/>
    </xf>
    <xf borderId="12" fillId="0" fontId="29" numFmtId="0" xfId="0" applyAlignment="1" applyBorder="1" applyFont="1">
      <alignment horizontal="center" readingOrder="0" vertical="top"/>
    </xf>
    <xf borderId="12" fillId="0" fontId="33" numFmtId="0" xfId="0" applyAlignment="1" applyBorder="1" applyFont="1">
      <alignment horizontal="center" readingOrder="0"/>
    </xf>
    <xf borderId="12" fillId="0" fontId="28" numFmtId="0" xfId="0" applyAlignment="1" applyBorder="1" applyFont="1">
      <alignment horizontal="center"/>
    </xf>
    <xf borderId="12" fillId="0" fontId="20" numFmtId="0" xfId="0" applyBorder="1" applyFont="1"/>
    <xf borderId="12" fillId="6" fontId="29" numFmtId="0" xfId="0" applyAlignment="1" applyBorder="1" applyFont="1">
      <alignment horizontal="center"/>
    </xf>
    <xf borderId="15" fillId="6" fontId="26" numFmtId="0" xfId="0" applyAlignment="1" applyBorder="1" applyFont="1">
      <alignment horizontal="center"/>
    </xf>
    <xf borderId="8" fillId="0" fontId="4" numFmtId="0" xfId="0" applyAlignment="1" applyBorder="1" applyFont="1">
      <alignment horizontal="center"/>
    </xf>
    <xf borderId="1" fillId="10" fontId="25" numFmtId="0" xfId="0" applyAlignment="1" applyBorder="1" applyFill="1" applyFont="1">
      <alignment horizontal="left"/>
    </xf>
    <xf borderId="12" fillId="10" fontId="20" numFmtId="0" xfId="0" applyBorder="1" applyFont="1"/>
    <xf borderId="12" fillId="0" fontId="33" numFmtId="0" xfId="0" applyAlignment="1" applyBorder="1" applyFont="1">
      <alignment horizontal="center"/>
    </xf>
    <xf borderId="12" fillId="6" fontId="4" numFmtId="0" xfId="0" applyAlignment="1" applyBorder="1" applyFont="1">
      <alignment horizontal="center"/>
    </xf>
    <xf borderId="0" fillId="6" fontId="4" numFmtId="10" xfId="0" applyFont="1" applyNumberFormat="1"/>
    <xf borderId="16" fillId="6" fontId="31" numFmtId="0" xfId="0" applyAlignment="1" applyBorder="1" applyFont="1">
      <alignment horizontal="center" vertical="top"/>
    </xf>
    <xf borderId="1" fillId="8" fontId="26" numFmtId="0" xfId="0" applyAlignment="1" applyBorder="1" applyFont="1">
      <alignment horizontal="center"/>
    </xf>
    <xf borderId="0" fillId="6" fontId="26" numFmtId="0" xfId="0" applyAlignment="1" applyFont="1">
      <alignment horizontal="center"/>
    </xf>
    <xf borderId="3" fillId="0" fontId="4" numFmtId="0" xfId="0" applyAlignment="1" applyBorder="1" applyFont="1">
      <alignment horizontal="center"/>
    </xf>
    <xf borderId="1" fillId="11" fontId="25" numFmtId="0" xfId="0" applyAlignment="1" applyBorder="1" applyFill="1" applyFont="1">
      <alignment horizontal="left"/>
    </xf>
    <xf borderId="12" fillId="12" fontId="20" numFmtId="0" xfId="0" applyBorder="1" applyFill="1" applyFont="1"/>
    <xf borderId="12" fillId="11" fontId="20" numFmtId="0" xfId="0" applyBorder="1" applyFont="1"/>
    <xf borderId="12" fillId="8" fontId="27" numFmtId="0" xfId="0" applyAlignment="1" applyBorder="1" applyFont="1">
      <alignment horizontal="center"/>
    </xf>
    <xf borderId="12" fillId="0" fontId="14" numFmtId="0" xfId="0" applyAlignment="1" applyBorder="1" applyFont="1">
      <alignment horizontal="center"/>
    </xf>
    <xf borderId="12" fillId="6" fontId="26" numFmtId="0" xfId="0" applyAlignment="1" applyBorder="1" applyFont="1">
      <alignment horizontal="center"/>
    </xf>
    <xf borderId="1" fillId="13" fontId="25" numFmtId="0" xfId="0" applyAlignment="1" applyBorder="1" applyFill="1" applyFont="1">
      <alignment horizontal="left"/>
    </xf>
    <xf borderId="12" fillId="14" fontId="20" numFmtId="0" xfId="0" applyBorder="1" applyFill="1" applyFont="1"/>
    <xf borderId="12" fillId="9" fontId="26" numFmtId="0" xfId="0" applyAlignment="1" applyBorder="1" applyFont="1">
      <alignment horizontal="center"/>
    </xf>
    <xf borderId="12" fillId="6" fontId="14" numFmtId="0" xfId="0" applyAlignment="1" applyBorder="1" applyFont="1">
      <alignment horizontal="center"/>
    </xf>
    <xf borderId="12" fillId="13" fontId="20" numFmtId="0" xfId="0" applyBorder="1" applyFont="1"/>
    <xf borderId="11" fillId="9" fontId="26" numFmtId="0" xfId="0" applyAlignment="1" applyBorder="1" applyFont="1">
      <alignment horizontal="center"/>
    </xf>
    <xf borderId="12" fillId="0" fontId="15" numFmtId="0" xfId="0" applyAlignment="1" applyBorder="1" applyFont="1">
      <alignment horizontal="center" readingOrder="0"/>
    </xf>
    <xf borderId="17" fillId="8" fontId="14" numFmtId="0" xfId="0" applyBorder="1" applyFont="1"/>
    <xf borderId="1" fillId="12" fontId="15" numFmtId="0" xfId="0" applyAlignment="1" applyBorder="1" applyFont="1">
      <alignment vertical="bottom"/>
    </xf>
    <xf borderId="18" fillId="12" fontId="34" numFmtId="0" xfId="0" applyAlignment="1" applyBorder="1" applyFont="1">
      <alignment horizontal="center" vertical="bottom"/>
    </xf>
    <xf borderId="19" fillId="0" fontId="2" numFmtId="0" xfId="0" applyBorder="1" applyFont="1"/>
    <xf borderId="20" fillId="0" fontId="2" numFmtId="0" xfId="0" applyBorder="1" applyFont="1"/>
    <xf borderId="21" fillId="15" fontId="35" numFmtId="0" xfId="0" applyAlignment="1" applyBorder="1" applyFill="1" applyFont="1">
      <alignment horizontal="center"/>
    </xf>
    <xf borderId="22" fillId="0" fontId="2" numFmtId="0" xfId="0" applyBorder="1" applyFont="1"/>
    <xf borderId="23" fillId="0" fontId="2" numFmtId="0" xfId="0" applyBorder="1" applyFont="1"/>
    <xf borderId="24" fillId="0" fontId="36" numFmtId="0" xfId="0" applyAlignment="1" applyBorder="1" applyFont="1">
      <alignment horizontal="left"/>
    </xf>
    <xf borderId="5" fillId="0" fontId="37" numFmtId="164" xfId="0" applyAlignment="1" applyBorder="1" applyFont="1" applyNumberFormat="1">
      <alignment horizontal="right"/>
    </xf>
    <xf borderId="25" fillId="0" fontId="37" numFmtId="164" xfId="0" applyAlignment="1" applyBorder="1" applyFont="1" applyNumberFormat="1">
      <alignment horizontal="right"/>
    </xf>
    <xf borderId="26" fillId="0" fontId="38" numFmtId="0" xfId="0" applyAlignment="1" applyBorder="1" applyFont="1">
      <alignment horizontal="left"/>
    </xf>
    <xf borderId="27" fillId="0" fontId="13" numFmtId="3" xfId="0" applyBorder="1" applyFont="1" applyNumberFormat="1"/>
    <xf borderId="26" fillId="0" fontId="37" numFmtId="0" xfId="0" applyAlignment="1" applyBorder="1" applyFont="1">
      <alignment horizontal="left"/>
    </xf>
    <xf borderId="0" fillId="0" fontId="37" numFmtId="10" xfId="0" applyAlignment="1" applyFont="1" applyNumberFormat="1">
      <alignment horizontal="right"/>
    </xf>
    <xf borderId="7" fillId="6" fontId="34" numFmtId="0" xfId="0" applyAlignment="1" applyBorder="1" applyFont="1">
      <alignment horizontal="center" vertical="bottom"/>
    </xf>
    <xf borderId="26" fillId="0" fontId="39" numFmtId="0" xfId="0" applyBorder="1" applyFont="1"/>
    <xf borderId="0" fillId="0" fontId="36" numFmtId="10" xfId="0" applyFont="1" applyNumberFormat="1"/>
    <xf borderId="0" fillId="0" fontId="36" numFmtId="0" xfId="0" applyFont="1"/>
    <xf borderId="27" fillId="0" fontId="14" numFmtId="0" xfId="0" applyBorder="1" applyFont="1"/>
    <xf borderId="0" fillId="0" fontId="38" numFmtId="4" xfId="0" applyAlignment="1" applyFont="1" applyNumberFormat="1">
      <alignment horizontal="right"/>
    </xf>
    <xf borderId="27" fillId="0" fontId="38" numFmtId="4" xfId="0" applyAlignment="1" applyBorder="1" applyFont="1" applyNumberFormat="1">
      <alignment horizontal="right"/>
    </xf>
    <xf borderId="0" fillId="0" fontId="37" numFmtId="0" xfId="0" applyAlignment="1" applyFont="1">
      <alignment horizontal="right"/>
    </xf>
    <xf borderId="27" fillId="0" fontId="37" numFmtId="0" xfId="0" applyAlignment="1" applyBorder="1" applyFont="1">
      <alignment horizontal="right"/>
    </xf>
    <xf borderId="0" fillId="8" fontId="26" numFmtId="10" xfId="0" applyAlignment="1" applyFont="1" applyNumberFormat="1">
      <alignment horizontal="right"/>
    </xf>
    <xf borderId="26" fillId="16" fontId="37" numFmtId="0" xfId="0" applyAlignment="1" applyBorder="1" applyFill="1" applyFont="1">
      <alignment horizontal="left"/>
    </xf>
    <xf borderId="0" fillId="16" fontId="37" numFmtId="10" xfId="0" applyAlignment="1" applyFont="1" applyNumberFormat="1">
      <alignment horizontal="left"/>
    </xf>
    <xf borderId="4" fillId="3" fontId="15" numFmtId="0" xfId="0" applyAlignment="1" applyBorder="1" applyFont="1">
      <alignment shrinkToFit="0" vertical="bottom" wrapText="1"/>
    </xf>
    <xf borderId="0" fillId="0" fontId="29" numFmtId="10" xfId="0" applyAlignment="1" applyFont="1" applyNumberFormat="1">
      <alignment horizontal="right" vertical="top"/>
    </xf>
    <xf borderId="28" fillId="0" fontId="31" numFmtId="0" xfId="0" applyAlignment="1" applyBorder="1" applyFont="1">
      <alignment horizontal="right" vertical="top"/>
    </xf>
    <xf borderId="18" fillId="15" fontId="40" numFmtId="0" xfId="0" applyAlignment="1" applyBorder="1" applyFont="1">
      <alignment horizontal="center"/>
    </xf>
    <xf borderId="29" fillId="0" fontId="2" numFmtId="0" xfId="0" applyBorder="1" applyFont="1"/>
    <xf borderId="30" fillId="17" fontId="14" numFmtId="0" xfId="0" applyBorder="1" applyFill="1" applyFont="1"/>
    <xf borderId="0" fillId="6" fontId="31" numFmtId="0" xfId="0" applyFont="1"/>
    <xf borderId="26" fillId="0" fontId="36" numFmtId="0" xfId="0" applyAlignment="1" applyBorder="1" applyFont="1">
      <alignment horizontal="left"/>
    </xf>
    <xf borderId="0" fillId="0" fontId="37" numFmtId="164" xfId="0" applyAlignment="1" applyFont="1" applyNumberFormat="1">
      <alignment horizontal="right"/>
    </xf>
    <xf borderId="27" fillId="0" fontId="37" numFmtId="164" xfId="0" applyAlignment="1" applyBorder="1" applyFont="1" applyNumberFormat="1">
      <alignment horizontal="right"/>
    </xf>
    <xf borderId="0" fillId="0" fontId="38" numFmtId="3" xfId="0" applyAlignment="1" applyFont="1" applyNumberFormat="1">
      <alignment horizontal="right"/>
    </xf>
    <xf borderId="27" fillId="0" fontId="38" numFmtId="3" xfId="0" applyAlignment="1" applyBorder="1" applyFont="1" applyNumberFormat="1">
      <alignment horizontal="right"/>
    </xf>
    <xf borderId="27" fillId="0" fontId="37" numFmtId="10" xfId="0" applyAlignment="1" applyBorder="1" applyFont="1" applyNumberFormat="1">
      <alignment horizontal="right"/>
    </xf>
    <xf borderId="31" fillId="0" fontId="14" numFmtId="0" xfId="0" applyBorder="1" applyFont="1"/>
    <xf borderId="32" fillId="0" fontId="29" numFmtId="10" xfId="0" applyAlignment="1" applyBorder="1" applyFont="1" applyNumberFormat="1">
      <alignment horizontal="right" vertical="top"/>
    </xf>
    <xf borderId="32" fillId="0" fontId="29" numFmtId="9" xfId="0" applyAlignment="1" applyBorder="1" applyFont="1" applyNumberFormat="1">
      <alignment horizontal="right" vertical="top"/>
    </xf>
    <xf borderId="0" fillId="0" fontId="31" numFmtId="0" xfId="0" applyAlignment="1" applyFont="1">
      <alignment horizontal="right" vertical="top"/>
    </xf>
    <xf borderId="17" fillId="6" fontId="31" numFmtId="0" xfId="0" applyBorder="1" applyFont="1"/>
    <xf borderId="0" fillId="0" fontId="14" numFmtId="14" xfId="0" applyAlignment="1" applyFont="1" applyNumberFormat="1">
      <alignment horizontal="center"/>
    </xf>
    <xf borderId="0" fillId="0" fontId="14" numFmtId="0" xfId="0" applyAlignment="1" applyFont="1">
      <alignment horizontal="left"/>
    </xf>
    <xf borderId="0" fillId="0" fontId="14" numFmtId="0" xfId="0" applyAlignment="1" applyFont="1">
      <alignment horizontal="right"/>
    </xf>
    <xf borderId="33" fillId="3" fontId="41" numFmtId="0" xfId="0" applyAlignment="1" applyBorder="1" applyFont="1">
      <alignment horizontal="center"/>
    </xf>
    <xf borderId="34" fillId="0" fontId="2" numFmtId="0" xfId="0" applyBorder="1" applyFont="1"/>
    <xf borderId="15" fillId="0" fontId="2" numFmtId="0" xfId="0" applyBorder="1" applyFont="1"/>
    <xf borderId="12" fillId="0" fontId="42" numFmtId="14" xfId="0" applyAlignment="1" applyBorder="1" applyFont="1" applyNumberFormat="1">
      <alignment horizontal="center"/>
    </xf>
    <xf borderId="1" fillId="18" fontId="42" numFmtId="0" xfId="0" applyAlignment="1" applyBorder="1" applyFill="1" applyFont="1">
      <alignment horizontal="center"/>
    </xf>
    <xf borderId="1" fillId="16" fontId="7" numFmtId="0" xfId="0" applyAlignment="1" applyBorder="1" applyFont="1">
      <alignment horizontal="center"/>
    </xf>
    <xf borderId="35" fillId="0" fontId="5" numFmtId="0" xfId="0" applyAlignment="1" applyBorder="1" applyFont="1">
      <alignment horizontal="center"/>
    </xf>
    <xf borderId="36" fillId="0" fontId="2" numFmtId="0" xfId="0" applyBorder="1" applyFont="1"/>
    <xf borderId="12" fillId="0" fontId="42" numFmtId="0" xfId="0" applyAlignment="1" applyBorder="1" applyFont="1">
      <alignment horizontal="center"/>
    </xf>
    <xf borderId="37" fillId="0" fontId="14" numFmtId="0" xfId="0" applyBorder="1" applyFont="1"/>
    <xf borderId="38" fillId="0" fontId="14" numFmtId="0" xfId="0" applyBorder="1" applyFont="1"/>
    <xf borderId="1" fillId="16" fontId="43" numFmtId="0" xfId="0" applyAlignment="1" applyBorder="1" applyFont="1">
      <alignment horizontal="center"/>
    </xf>
    <xf borderId="0" fillId="0" fontId="44" numFmtId="0" xfId="0" applyFont="1"/>
    <xf borderId="12" fillId="16" fontId="43" numFmtId="0" xfId="0" applyAlignment="1" applyBorder="1" applyFont="1">
      <alignment horizontal="left"/>
    </xf>
    <xf borderId="12" fillId="16" fontId="44" numFmtId="0" xfId="0" applyAlignment="1" applyBorder="1" applyFont="1">
      <alignment horizontal="right"/>
    </xf>
    <xf borderId="1" fillId="16" fontId="45" numFmtId="0" xfId="0" applyAlignment="1" applyBorder="1" applyFont="1">
      <alignment horizontal="center"/>
    </xf>
    <xf borderId="1" fillId="16" fontId="44" numFmtId="0" xfId="0" applyAlignment="1" applyBorder="1" applyFont="1">
      <alignment horizontal="center"/>
    </xf>
    <xf borderId="0" fillId="0" fontId="14" numFmtId="165" xfId="0" applyFont="1" applyNumberFormat="1"/>
    <xf borderId="12" fillId="0" fontId="16" numFmtId="166" xfId="0" applyAlignment="1" applyBorder="1" applyFont="1" applyNumberFormat="1">
      <alignment horizontal="center"/>
    </xf>
    <xf borderId="12" fillId="0" fontId="16" numFmtId="4" xfId="0" applyAlignment="1" applyBorder="1" applyFont="1" applyNumberFormat="1">
      <alignment horizontal="center"/>
    </xf>
    <xf borderId="12" fillId="0" fontId="46" numFmtId="10" xfId="0" applyAlignment="1" applyBorder="1" applyFont="1" applyNumberFormat="1">
      <alignment horizontal="center"/>
    </xf>
    <xf borderId="37" fillId="0" fontId="42" numFmtId="0" xfId="0" applyBorder="1" applyFont="1"/>
    <xf borderId="38" fillId="0" fontId="14" numFmtId="2" xfId="0" applyBorder="1" applyFont="1" applyNumberFormat="1"/>
    <xf borderId="38" fillId="0" fontId="14" numFmtId="10" xfId="0" applyBorder="1" applyFont="1" applyNumberFormat="1"/>
    <xf borderId="12" fillId="0" fontId="47" numFmtId="0" xfId="0" applyAlignment="1" applyBorder="1" applyFont="1">
      <alignment vertical="bottom"/>
    </xf>
    <xf borderId="12" fillId="0" fontId="47" numFmtId="10" xfId="0" applyAlignment="1" applyBorder="1" applyFont="1" applyNumberFormat="1">
      <alignment horizontal="right" vertical="bottom"/>
    </xf>
    <xf borderId="0" fillId="0" fontId="14" numFmtId="0" xfId="0" applyAlignment="1" applyFont="1">
      <alignment vertical="bottom"/>
    </xf>
    <xf borderId="12" fillId="0" fontId="47" numFmtId="0" xfId="0" applyAlignment="1" applyBorder="1" applyFont="1">
      <alignment horizontal="center" vertical="bottom"/>
    </xf>
    <xf borderId="12" fillId="0" fontId="47" numFmtId="10" xfId="0" applyAlignment="1" applyBorder="1" applyFont="1" applyNumberFormat="1">
      <alignment horizontal="center" vertical="bottom"/>
    </xf>
    <xf borderId="12" fillId="0" fontId="47" numFmtId="0" xfId="0" applyAlignment="1" applyBorder="1" applyFont="1">
      <alignment horizontal="right" vertical="bottom"/>
    </xf>
    <xf borderId="12" fillId="0" fontId="47" numFmtId="4" xfId="0" applyAlignment="1" applyBorder="1" applyFont="1" applyNumberFormat="1">
      <alignment horizontal="right" vertical="bottom"/>
    </xf>
    <xf borderId="39" fillId="0" fontId="14" numFmtId="0" xfId="0" applyBorder="1" applyFont="1"/>
    <xf borderId="40" fillId="0" fontId="14" numFmtId="0" xfId="0" applyBorder="1" applyFont="1"/>
    <xf borderId="41" fillId="3" fontId="7" numFmtId="0" xfId="0" applyAlignment="1" applyBorder="1" applyFont="1">
      <alignment shrinkToFit="0" wrapText="1"/>
    </xf>
    <xf borderId="42" fillId="3" fontId="5" numFmtId="2" xfId="0" applyBorder="1" applyFont="1" applyNumberFormat="1"/>
    <xf borderId="35" fillId="0" fontId="48" numFmtId="0" xfId="0" applyAlignment="1" applyBorder="1" applyFont="1">
      <alignment horizontal="center"/>
    </xf>
    <xf borderId="43" fillId="0" fontId="5" numFmtId="0" xfId="0" applyBorder="1" applyFont="1"/>
    <xf borderId="44" fillId="0" fontId="5" numFmtId="0" xfId="0" applyBorder="1" applyFont="1"/>
    <xf borderId="45" fillId="3" fontId="7" numFmtId="0" xfId="0" applyBorder="1" applyFont="1"/>
    <xf borderId="46" fillId="0" fontId="5" numFmtId="2" xfId="0" applyAlignment="1" applyBorder="1" applyFont="1" applyNumberFormat="1">
      <alignment horizontal="center"/>
    </xf>
    <xf borderId="26" fillId="0" fontId="49" numFmtId="0" xfId="0" applyAlignment="1" applyBorder="1" applyFont="1">
      <alignment horizontal="center" readingOrder="0"/>
    </xf>
    <xf borderId="37" fillId="0" fontId="5" numFmtId="0" xfId="0" applyBorder="1" applyFont="1"/>
    <xf borderId="38" fillId="0" fontId="5" numFmtId="0" xfId="0" applyBorder="1" applyFont="1"/>
    <xf borderId="37" fillId="3" fontId="7" numFmtId="0" xfId="0" applyBorder="1" applyFont="1"/>
    <xf borderId="38" fillId="0" fontId="5" numFmtId="2" xfId="0" applyAlignment="1" applyBorder="1" applyFont="1" applyNumberFormat="1">
      <alignment horizontal="center"/>
    </xf>
    <xf borderId="26" fillId="0" fontId="2" numFmtId="0" xfId="0" applyBorder="1" applyFont="1"/>
    <xf borderId="47" fillId="3" fontId="7" numFmtId="0" xfId="0" applyBorder="1" applyFont="1"/>
    <xf borderId="48" fillId="0" fontId="5" numFmtId="2" xfId="0" applyAlignment="1" applyBorder="1" applyFont="1" applyNumberFormat="1">
      <alignment horizontal="center"/>
    </xf>
    <xf borderId="47" fillId="0" fontId="5" numFmtId="0" xfId="0" applyBorder="1" applyFont="1"/>
    <xf borderId="48" fillId="0" fontId="5" numFmtId="0" xfId="0" applyBorder="1" applyFont="1"/>
    <xf borderId="0" fillId="19" fontId="50" numFmtId="0" xfId="0" applyAlignment="1" applyFill="1" applyFont="1">
      <alignment readingOrder="0" shrinkToFit="0" vertical="bottom" wrapText="0"/>
    </xf>
    <xf borderId="0" fillId="0" fontId="50" numFmtId="0" xfId="0" applyAlignment="1" applyFont="1">
      <alignment shrinkToFit="0" vertical="bottom" wrapText="0"/>
    </xf>
    <xf borderId="2" fillId="0" fontId="51" numFmtId="0" xfId="0" applyAlignment="1" applyBorder="1" applyFont="1">
      <alignment horizontal="center" readingOrder="0" shrinkToFit="0" vertical="bottom" wrapText="0"/>
    </xf>
    <xf borderId="0" fillId="0" fontId="50" numFmtId="0" xfId="0" applyAlignment="1" applyFont="1">
      <alignment readingOrder="0" shrinkToFit="0" vertical="bottom" wrapText="0"/>
    </xf>
    <xf borderId="0" fillId="0" fontId="50" numFmtId="0" xfId="0" applyAlignment="1" applyFont="1">
      <alignment horizontal="right" readingOrder="0" shrinkToFit="0" vertical="bottom" wrapText="0"/>
    </xf>
    <xf borderId="0" fillId="3" fontId="50" numFmtId="0" xfId="0" applyAlignment="1" applyFont="1">
      <alignment readingOrder="0" shrinkToFit="0" vertical="bottom" wrapText="0"/>
    </xf>
    <xf borderId="0" fillId="3" fontId="50" numFmtId="0" xfId="0" applyAlignment="1" applyFont="1">
      <alignment horizontal="right" readingOrder="0" shrinkToFit="0" vertical="bottom" wrapText="0"/>
    </xf>
    <xf borderId="10" fillId="0" fontId="50" numFmtId="0" xfId="0" applyAlignment="1" applyBorder="1" applyFont="1">
      <alignment readingOrder="0" shrinkToFit="0" vertical="bottom" wrapText="0"/>
    </xf>
    <xf borderId="10" fillId="0" fontId="50" numFmtId="0" xfId="0" applyAlignment="1" applyBorder="1" applyFont="1">
      <alignment horizontal="right" readingOrder="0" shrinkToFit="0" vertical="bottom" wrapText="0"/>
    </xf>
    <xf borderId="2" fillId="0" fontId="51" numFmtId="0" xfId="0" applyAlignment="1" applyBorder="1" applyFont="1">
      <alignment horizontal="center" shrinkToFit="0" vertical="bottom" wrapText="0"/>
    </xf>
    <xf borderId="0" fillId="0" fontId="50" numFmtId="11" xfId="0" applyAlignment="1" applyFont="1" applyNumberFormat="1">
      <alignment horizontal="right" readingOrder="0" shrinkToFit="0" vertical="bottom" wrapText="0"/>
    </xf>
    <xf borderId="0" fillId="0" fontId="50" numFmtId="0" xfId="0" applyAlignment="1" applyFont="1">
      <alignment shrinkToFit="0" vertical="bottom" wrapText="0"/>
    </xf>
    <xf borderId="10" fillId="0" fontId="50" numFmtId="0" xfId="0" applyAlignment="1" applyBorder="1" applyFont="1">
      <alignment shrinkToFit="0" vertical="bottom" wrapText="0"/>
    </xf>
    <xf borderId="10" fillId="3" fontId="50" numFmtId="0" xfId="0" applyAlignment="1" applyBorder="1" applyFont="1">
      <alignment readingOrder="0" shrinkToFit="0" vertical="bottom" wrapText="0"/>
    </xf>
    <xf borderId="10" fillId="3" fontId="50" numFmtId="0" xfId="0" applyAlignment="1" applyBorder="1" applyFont="1">
      <alignment horizontal="right" readingOrder="0" shrinkToFit="0" vertical="bottom" wrapText="0"/>
    </xf>
    <xf borderId="10" fillId="0" fontId="50" numFmtId="11" xfId="0" applyAlignment="1" applyBorder="1" applyFont="1" applyNumberFormat="1">
      <alignment horizontal="right" readingOrder="0" shrinkToFit="0" vertical="bottom" wrapText="0"/>
    </xf>
    <xf borderId="12" fillId="0" fontId="16" numFmtId="0" xfId="0" applyAlignment="1" applyBorder="1" applyFont="1">
      <alignment horizontal="center"/>
    </xf>
    <xf borderId="12" fillId="0" fontId="15" numFmtId="10" xfId="0" applyAlignment="1" applyBorder="1" applyFont="1" applyNumberFormat="1">
      <alignment horizontal="center"/>
    </xf>
    <xf borderId="0" fillId="0" fontId="42" numFmtId="14" xfId="0" applyAlignment="1" applyFont="1" applyNumberFormat="1">
      <alignment horizontal="center"/>
    </xf>
    <xf borderId="0" fillId="0" fontId="46" numFmtId="0" xfId="0" applyFont="1"/>
    <xf borderId="1" fillId="20" fontId="14" numFmtId="0" xfId="0" applyAlignment="1" applyBorder="1" applyFill="1" applyFont="1">
      <alignment horizontal="center"/>
    </xf>
    <xf borderId="12" fillId="0" fontId="4" numFmtId="0" xfId="0" applyBorder="1" applyFont="1"/>
    <xf borderId="12" fillId="19" fontId="42" numFmtId="0" xfId="0" applyAlignment="1" applyBorder="1" applyFont="1">
      <alignment horizontal="center"/>
    </xf>
    <xf borderId="12" fillId="3" fontId="42" numFmtId="0" xfId="0" applyAlignment="1" applyBorder="1" applyFont="1">
      <alignment horizontal="center"/>
    </xf>
    <xf borderId="12" fillId="3" fontId="14" numFmtId="10" xfId="0" applyAlignment="1" applyBorder="1" applyFont="1" applyNumberFormat="1">
      <alignment horizontal="center"/>
    </xf>
    <xf borderId="1" fillId="0" fontId="14" numFmtId="0" xfId="0" applyAlignment="1" applyBorder="1" applyFont="1">
      <alignment horizontal="left"/>
    </xf>
    <xf borderId="12" fillId="0" fontId="14" numFmtId="10" xfId="0" applyBorder="1" applyFont="1" applyNumberFormat="1"/>
    <xf borderId="12" fillId="0" fontId="14" numFmtId="0" xfId="0" applyBorder="1" applyFont="1"/>
    <xf borderId="1" fillId="21" fontId="5" numFmtId="0" xfId="0" applyAlignment="1" applyBorder="1" applyFill="1" applyFont="1">
      <alignment horizontal="left"/>
    </xf>
    <xf borderId="12" fillId="21" fontId="5" numFmtId="10" xfId="0" applyBorder="1" applyFont="1" applyNumberFormat="1"/>
    <xf borderId="0" fillId="22" fontId="52" numFmtId="0" xfId="0" applyAlignment="1" applyFill="1" applyFont="1">
      <alignment readingOrder="0" shrinkToFit="0" wrapText="1"/>
    </xf>
    <xf borderId="18" fillId="2" fontId="15" numFmtId="0" xfId="0" applyAlignment="1" applyBorder="1" applyFont="1">
      <alignment horizontal="center"/>
    </xf>
    <xf borderId="45" fillId="23" fontId="5" numFmtId="0" xfId="0" applyAlignment="1" applyBorder="1" applyFill="1" applyFont="1">
      <alignment horizontal="center"/>
    </xf>
    <xf borderId="49" fillId="23" fontId="5" numFmtId="0" xfId="0" applyAlignment="1" applyBorder="1" applyFont="1">
      <alignment horizontal="center"/>
    </xf>
    <xf borderId="49" fillId="23" fontId="5" numFmtId="0" xfId="0" applyAlignment="1" applyBorder="1" applyFont="1">
      <alignment horizontal="center" shrinkToFit="0" wrapText="1"/>
    </xf>
    <xf borderId="49" fillId="23" fontId="7" numFmtId="0" xfId="0" applyAlignment="1" applyBorder="1" applyFont="1">
      <alignment horizontal="center" readingOrder="0" shrinkToFit="0" wrapText="1"/>
    </xf>
    <xf borderId="46" fillId="23" fontId="5" numFmtId="0" xfId="0" applyAlignment="1" applyBorder="1" applyFont="1">
      <alignment horizontal="center" shrinkToFit="0" wrapText="1"/>
    </xf>
    <xf borderId="5" fillId="0" fontId="4" numFmtId="0" xfId="0" applyBorder="1" applyFont="1"/>
    <xf borderId="6" fillId="0" fontId="4" numFmtId="0" xfId="0" applyBorder="1" applyFont="1"/>
    <xf borderId="8" fillId="0" fontId="4" numFmtId="0" xfId="0" applyBorder="1" applyFont="1"/>
    <xf borderId="37" fillId="19" fontId="53" numFmtId="0" xfId="0" applyAlignment="1" applyBorder="1" applyFont="1">
      <alignment readingOrder="0"/>
    </xf>
    <xf borderId="12" fillId="19" fontId="13" numFmtId="0" xfId="0" applyAlignment="1" applyBorder="1" applyFont="1">
      <alignment readingOrder="0"/>
    </xf>
    <xf borderId="12" fillId="19" fontId="14" numFmtId="9" xfId="0" applyBorder="1" applyFont="1" applyNumberFormat="1"/>
    <xf borderId="12" fillId="19" fontId="5" numFmtId="167" xfId="0" applyBorder="1" applyFont="1" applyNumberFormat="1"/>
    <xf borderId="38" fillId="19" fontId="5" numFmtId="167" xfId="0" applyBorder="1" applyFont="1" applyNumberFormat="1"/>
    <xf borderId="37" fillId="24" fontId="14" numFmtId="0" xfId="0" applyBorder="1" applyFill="1" applyFont="1"/>
    <xf borderId="12" fillId="3" fontId="13" numFmtId="0" xfId="0" applyBorder="1" applyFont="1"/>
    <xf borderId="12" fillId="24" fontId="14" numFmtId="9" xfId="0" applyBorder="1" applyFont="1" applyNumberFormat="1"/>
    <xf borderId="12" fillId="24" fontId="5" numFmtId="167" xfId="0" applyBorder="1" applyFont="1" applyNumberFormat="1"/>
    <xf borderId="38" fillId="3" fontId="5" numFmtId="167" xfId="0" applyBorder="1" applyFont="1" applyNumberFormat="1"/>
    <xf borderId="37" fillId="23" fontId="14" numFmtId="0" xfId="0" applyBorder="1" applyFont="1"/>
    <xf borderId="12" fillId="23" fontId="14" numFmtId="9" xfId="0" applyBorder="1" applyFont="1" applyNumberFormat="1"/>
    <xf borderId="12" fillId="23" fontId="5" numFmtId="167" xfId="0" applyBorder="1" applyFont="1" applyNumberFormat="1"/>
    <xf borderId="0" fillId="0" fontId="54" numFmtId="0" xfId="0" applyFont="1"/>
    <xf borderId="47" fillId="23" fontId="14" numFmtId="0" xfId="0" applyBorder="1" applyFont="1"/>
    <xf borderId="50" fillId="3" fontId="13" numFmtId="0" xfId="0" applyBorder="1" applyFont="1"/>
    <xf borderId="50" fillId="23" fontId="14" numFmtId="9" xfId="0" applyBorder="1" applyFont="1" applyNumberFormat="1"/>
    <xf borderId="50" fillId="23" fontId="5" numFmtId="167" xfId="0" applyBorder="1" applyFont="1" applyNumberFormat="1"/>
    <xf borderId="48" fillId="3" fontId="5" numFmtId="167" xfId="0" applyBorder="1" applyFont="1" applyNumberFormat="1"/>
    <xf borderId="7" fillId="0" fontId="4" numFmtId="0" xfId="0" applyBorder="1" applyFont="1"/>
    <xf borderId="45" fillId="24" fontId="14" numFmtId="0" xfId="0" applyBorder="1" applyFont="1"/>
    <xf borderId="49" fillId="24" fontId="5" numFmtId="9" xfId="0" applyBorder="1" applyFont="1" applyNumberFormat="1"/>
    <xf borderId="49" fillId="24" fontId="5" numFmtId="2" xfId="0" applyBorder="1" applyFont="1" applyNumberFormat="1"/>
    <xf borderId="46" fillId="24" fontId="5" numFmtId="2" xfId="0" applyBorder="1" applyFont="1" applyNumberFormat="1"/>
    <xf borderId="12" fillId="23" fontId="5" numFmtId="9" xfId="0" applyBorder="1" applyFont="1" applyNumberFormat="1"/>
    <xf borderId="12" fillId="23" fontId="5" numFmtId="2" xfId="0" applyBorder="1" applyFont="1" applyNumberFormat="1"/>
    <xf borderId="38" fillId="23" fontId="5" numFmtId="2" xfId="0" applyBorder="1" applyFont="1" applyNumberFormat="1"/>
    <xf borderId="10" fillId="0" fontId="4" numFmtId="0" xfId="0" applyBorder="1" applyFont="1"/>
    <xf borderId="11" fillId="0" fontId="4" numFmtId="0" xfId="0" applyBorder="1" applyFont="1"/>
    <xf borderId="51" fillId="24" fontId="15" numFmtId="0" xfId="0" applyBorder="1" applyFont="1"/>
    <xf borderId="52" fillId="0" fontId="2" numFmtId="0" xfId="0" applyBorder="1" applyFont="1"/>
    <xf borderId="53" fillId="0" fontId="2" numFmtId="0" xfId="0" applyBorder="1" applyFont="1"/>
    <xf borderId="0" fillId="0" fontId="14" numFmtId="0" xfId="0" applyFont="1"/>
    <xf borderId="1" fillId="0" fontId="15" numFmtId="0" xfId="0" applyBorder="1" applyFont="1"/>
    <xf borderId="12" fillId="0" fontId="14" numFmtId="2" xfId="0" applyBorder="1" applyFont="1" applyNumberFormat="1"/>
    <xf borderId="0" fillId="6" fontId="55" numFmtId="0" xfId="0" applyAlignment="1" applyFont="1">
      <alignment horizontal="right" readingOrder="0"/>
    </xf>
    <xf borderId="12" fillId="0" fontId="14" numFmtId="9" xfId="0" applyBorder="1" applyFont="1" applyNumberFormat="1"/>
    <xf borderId="0" fillId="0" fontId="14" numFmtId="9" xfId="0" applyFont="1" applyNumberFormat="1"/>
    <xf borderId="12" fillId="0" fontId="14" numFmtId="168" xfId="0" applyBorder="1" applyFont="1" applyNumberFormat="1"/>
    <xf borderId="12" fillId="0" fontId="15" numFmtId="0" xfId="0" applyAlignment="1" applyBorder="1" applyFont="1">
      <alignment readingOrder="0"/>
    </xf>
    <xf borderId="1" fillId="0" fontId="14" numFmtId="0" xfId="0" applyBorder="1" applyFont="1"/>
    <xf borderId="1" fillId="3" fontId="14" numFmtId="0" xfId="0" applyBorder="1" applyFont="1"/>
    <xf borderId="12" fillId="3" fontId="14" numFmtId="0" xfId="0" applyBorder="1" applyFont="1"/>
    <xf borderId="1" fillId="2" fontId="12" numFmtId="0" xfId="0" applyAlignment="1" applyBorder="1" applyFont="1">
      <alignment horizontal="center" readingOrder="0"/>
    </xf>
    <xf borderId="12" fillId="2" fontId="4" numFmtId="168" xfId="0" applyBorder="1" applyFont="1" applyNumberFormat="1"/>
    <xf borderId="12" fillId="0" fontId="14" numFmtId="169" xfId="0" applyBorder="1" applyFont="1" applyNumberFormat="1"/>
    <xf borderId="17" fillId="6" fontId="14" numFmtId="0" xfId="0" applyBorder="1" applyFont="1"/>
    <xf borderId="1" fillId="3" fontId="15" numFmtId="0" xfId="0" applyBorder="1" applyFont="1"/>
    <xf borderId="12" fillId="3" fontId="14" numFmtId="10" xfId="0" applyBorder="1" applyFont="1" applyNumberFormat="1"/>
    <xf borderId="17" fillId="6" fontId="14" numFmtId="10" xfId="0" applyBorder="1" applyFont="1" applyNumberFormat="1"/>
    <xf borderId="0" fillId="6" fontId="14" numFmtId="0" xfId="0" applyFont="1"/>
    <xf borderId="0" fillId="6" fontId="14" numFmtId="168" xfId="0" applyFont="1" applyNumberFormat="1"/>
    <xf borderId="0" fillId="0" fontId="15" numFmtId="0" xfId="0" applyFont="1"/>
    <xf borderId="12" fillId="3" fontId="14" numFmtId="169" xfId="0" applyBorder="1" applyFont="1" applyNumberFormat="1"/>
    <xf borderId="12" fillId="0" fontId="15" numFmtId="0" xfId="0" applyBorder="1" applyFont="1"/>
    <xf borderId="4" fillId="2" fontId="4" numFmtId="0" xfId="0" applyAlignment="1" applyBorder="1" applyFont="1">
      <alignment readingOrder="0" shrinkToFit="0" wrapText="1"/>
    </xf>
    <xf borderId="0" fillId="0" fontId="56" numFmtId="0" xfId="0" applyFont="1"/>
    <xf borderId="0" fillId="0" fontId="57" numFmtId="0" xfId="0" applyFont="1"/>
    <xf borderId="1" fillId="19" fontId="58" numFmtId="0" xfId="0" applyAlignment="1" applyBorder="1" applyFont="1">
      <alignment horizontal="center"/>
    </xf>
    <xf borderId="12" fillId="19" fontId="58" numFmtId="0" xfId="0" applyBorder="1" applyFont="1"/>
    <xf borderId="12" fillId="19" fontId="4" numFmtId="0" xfId="0" applyBorder="1" applyFont="1"/>
    <xf borderId="12" fillId="0" fontId="59" numFmtId="0" xfId="0" applyBorder="1" applyFont="1"/>
    <xf borderId="0" fillId="0" fontId="60" numFmtId="0" xfId="0" applyFont="1"/>
    <xf borderId="12" fillId="0" fontId="61" numFmtId="0" xfId="0" applyBorder="1" applyFont="1"/>
    <xf borderId="12" fillId="3" fontId="4" numFmtId="0" xfId="0" applyBorder="1" applyFont="1"/>
    <xf borderId="26" fillId="0" fontId="7" numFmtId="0" xfId="0" applyBorder="1" applyFont="1"/>
    <xf borderId="11" fillId="0" fontId="62" numFmtId="10" xfId="0" applyAlignment="1" applyBorder="1" applyFont="1" applyNumberFormat="1">
      <alignment horizontal="center"/>
    </xf>
    <xf borderId="54" fillId="0" fontId="62" numFmtId="10" xfId="0" applyAlignment="1" applyBorder="1" applyFont="1" applyNumberFormat="1">
      <alignment horizontal="center"/>
    </xf>
    <xf borderId="12" fillId="0" fontId="63" numFmtId="0" xfId="0" applyBorder="1" applyFont="1"/>
    <xf borderId="12" fillId="0" fontId="63" numFmtId="10" xfId="0" applyBorder="1" applyFont="1" applyNumberFormat="1"/>
    <xf borderId="12" fillId="0" fontId="64" numFmtId="10" xfId="0" applyBorder="1" applyFont="1" applyNumberFormat="1"/>
    <xf borderId="11" fillId="25" fontId="62" numFmtId="10" xfId="0" applyAlignment="1" applyBorder="1" applyFill="1" applyFont="1" applyNumberFormat="1">
      <alignment horizontal="center"/>
    </xf>
    <xf borderId="55" fillId="26" fontId="65" numFmtId="0" xfId="0" applyAlignment="1" applyBorder="1" applyFill="1" applyFont="1">
      <alignment horizontal="center"/>
    </xf>
    <xf borderId="56" fillId="0" fontId="2" numFmtId="0" xfId="0" applyBorder="1" applyFont="1"/>
    <xf borderId="57" fillId="26" fontId="66" numFmtId="0" xfId="0" applyAlignment="1" applyBorder="1" applyFont="1">
      <alignment horizontal="center"/>
    </xf>
    <xf borderId="58" fillId="26" fontId="66" numFmtId="0" xfId="0" applyAlignment="1" applyBorder="1" applyFont="1">
      <alignment horizontal="center"/>
    </xf>
    <xf borderId="0" fillId="0" fontId="64" numFmtId="10" xfId="0" applyFont="1" applyNumberFormat="1"/>
    <xf borderId="12" fillId="0" fontId="23" numFmtId="0" xfId="0" applyAlignment="1" applyBorder="1" applyFont="1">
      <alignment readingOrder="0"/>
    </xf>
    <xf borderId="12" fillId="0" fontId="12" numFmtId="0" xfId="0" applyAlignment="1" applyBorder="1" applyFont="1">
      <alignment readingOrder="0"/>
    </xf>
    <xf borderId="12" fillId="0" fontId="5" numFmtId="10" xfId="0" applyBorder="1" applyFont="1" applyNumberFormat="1"/>
    <xf borderId="1" fillId="0" fontId="67" numFmtId="10" xfId="0" applyAlignment="1" applyBorder="1" applyFont="1" applyNumberFormat="1">
      <alignment horizontal="center"/>
    </xf>
    <xf borderId="12" fillId="0" fontId="5" numFmtId="167" xfId="0" applyBorder="1" applyFont="1" applyNumberFormat="1"/>
    <xf borderId="12" fillId="2" fontId="4" numFmtId="0" xfId="0" applyBorder="1" applyFont="1"/>
    <xf borderId="12" fillId="2" fontId="5" numFmtId="0" xfId="0" applyBorder="1" applyFont="1"/>
    <xf borderId="12" fillId="2" fontId="5" numFmtId="168" xfId="0" applyBorder="1" applyFont="1" applyNumberFormat="1"/>
    <xf borderId="12" fillId="25" fontId="61" numFmtId="0" xfId="0" applyBorder="1" applyFont="1"/>
    <xf borderId="12" fillId="25" fontId="63" numFmtId="0" xfId="0" applyBorder="1" applyFont="1"/>
    <xf borderId="12" fillId="25" fontId="63" numFmtId="10" xfId="0" applyBorder="1" applyFont="1" applyNumberFormat="1"/>
    <xf borderId="12" fillId="19" fontId="60" numFmtId="0" xfId="0" applyBorder="1" applyFont="1"/>
    <xf borderId="0" fillId="0" fontId="14" numFmtId="10" xfId="0" applyFont="1" applyNumberFormat="1"/>
    <xf borderId="0" fillId="0" fontId="68" numFmtId="3" xfId="0" applyFont="1" applyNumberFormat="1"/>
    <xf borderId="0" fillId="0" fontId="61" numFmtId="0" xfId="0" applyFont="1"/>
    <xf borderId="0" fillId="0" fontId="69" numFmtId="0" xfId="0" applyFont="1"/>
    <xf borderId="1" fillId="2" fontId="70" numFmtId="0" xfId="0" applyAlignment="1" applyBorder="1" applyFont="1">
      <alignment horizontal="center"/>
    </xf>
    <xf borderId="12" fillId="0" fontId="71" numFmtId="0" xfId="0" applyAlignment="1" applyBorder="1" applyFont="1">
      <alignment horizontal="center"/>
    </xf>
    <xf borderId="12" fillId="6" fontId="71" numFmtId="9" xfId="0" applyAlignment="1" applyBorder="1" applyFont="1" applyNumberFormat="1">
      <alignment horizontal="center"/>
    </xf>
    <xf borderId="12" fillId="0" fontId="71" numFmtId="10" xfId="0" applyAlignment="1" applyBorder="1" applyFont="1" applyNumberFormat="1">
      <alignment horizontal="center"/>
    </xf>
    <xf borderId="0" fillId="0" fontId="14" numFmtId="0" xfId="0" applyAlignment="1" applyFont="1">
      <alignment horizontal="center"/>
    </xf>
    <xf borderId="1" fillId="20" fontId="71" numFmtId="0" xfId="0" applyAlignment="1" applyBorder="1" applyFont="1">
      <alignment horizontal="center"/>
    </xf>
    <xf borderId="0" fillId="0" fontId="14" numFmtId="169" xfId="0" applyFont="1" applyNumberFormat="1"/>
    <xf borderId="12" fillId="0" fontId="71" numFmtId="9" xfId="0" applyAlignment="1" applyBorder="1" applyFont="1" applyNumberFormat="1">
      <alignment horizontal="center"/>
    </xf>
    <xf borderId="12" fillId="0" fontId="72" numFmtId="0" xfId="0" applyAlignment="1" applyBorder="1" applyFont="1">
      <alignment horizontal="center"/>
    </xf>
    <xf borderId="12" fillId="6" fontId="72" numFmtId="9" xfId="0" applyAlignment="1" applyBorder="1" applyFont="1" applyNumberFormat="1">
      <alignment horizontal="center"/>
    </xf>
    <xf borderId="0" fillId="12" fontId="71" numFmtId="0" xfId="0" applyAlignment="1" applyFont="1">
      <alignment horizontal="center"/>
    </xf>
    <xf borderId="18" fillId="21" fontId="73" numFmtId="0" xfId="0" applyAlignment="1" applyBorder="1" applyFont="1">
      <alignment horizontal="center"/>
    </xf>
    <xf borderId="30" fillId="21" fontId="73" numFmtId="168" xfId="0" applyAlignment="1" applyBorder="1" applyFont="1" applyNumberFormat="1">
      <alignment horizontal="center"/>
    </xf>
    <xf borderId="12" fillId="3" fontId="10" numFmtId="0" xfId="0" applyAlignment="1" applyBorder="1" applyFont="1">
      <alignment horizontal="left"/>
    </xf>
    <xf borderId="12" fillId="3" fontId="16" numFmtId="0" xfId="0" applyAlignment="1" applyBorder="1" applyFont="1">
      <alignment horizontal="left"/>
    </xf>
    <xf borderId="12" fillId="3" fontId="10" numFmtId="0" xfId="0" applyAlignment="1" applyBorder="1" applyFont="1">
      <alignment horizontal="left" readingOrder="0"/>
    </xf>
    <xf borderId="12" fillId="3" fontId="15" numFmtId="0" xfId="0" applyAlignment="1" applyBorder="1" applyFont="1">
      <alignment vertical="center"/>
    </xf>
    <xf borderId="12" fillId="3" fontId="14" numFmtId="3" xfId="0" applyAlignment="1" applyBorder="1" applyFont="1" applyNumberFormat="1">
      <alignment vertical="center"/>
    </xf>
    <xf borderId="12" fillId="3" fontId="15" numFmtId="0" xfId="0" applyAlignment="1" applyBorder="1" applyFont="1">
      <alignment readingOrder="0" vertical="center"/>
    </xf>
    <xf borderId="1" fillId="19" fontId="4" numFmtId="0" xfId="0" applyBorder="1" applyFont="1"/>
    <xf borderId="59" fillId="27" fontId="14" numFmtId="0" xfId="0" applyAlignment="1" applyBorder="1" applyFill="1" applyFont="1">
      <alignment horizontal="center"/>
    </xf>
    <xf borderId="60" fillId="27" fontId="14" numFmtId="17" xfId="0" applyBorder="1" applyFont="1" applyNumberFormat="1"/>
    <xf borderId="61" fillId="27" fontId="13" numFmtId="17" xfId="0" applyBorder="1" applyFont="1" applyNumberFormat="1"/>
    <xf borderId="62" fillId="27" fontId="13" numFmtId="17" xfId="0" applyBorder="1" applyFont="1" applyNumberFormat="1"/>
    <xf borderId="17" fillId="6" fontId="74" numFmtId="0" xfId="0" applyBorder="1" applyFont="1"/>
    <xf borderId="12" fillId="0" fontId="5" numFmtId="0" xfId="0" applyBorder="1" applyFont="1"/>
    <xf borderId="12" fillId="0" fontId="14" numFmtId="3" xfId="0" applyBorder="1" applyFont="1" applyNumberFormat="1"/>
    <xf borderId="12" fillId="3" fontId="21" numFmtId="0" xfId="0" applyBorder="1" applyFont="1"/>
    <xf borderId="12" fillId="28" fontId="5" numFmtId="3" xfId="0" applyAlignment="1" applyBorder="1" applyFill="1" applyFont="1" applyNumberFormat="1">
      <alignment horizontal="left"/>
    </xf>
    <xf borderId="12" fillId="8" fontId="13" numFmtId="3" xfId="0" applyBorder="1" applyFont="1" applyNumberFormat="1"/>
    <xf borderId="12" fillId="3" fontId="13" numFmtId="0" xfId="0" applyAlignment="1" applyBorder="1" applyFont="1">
      <alignment shrinkToFit="0" wrapText="1"/>
    </xf>
    <xf borderId="12" fillId="2" fontId="14" numFmtId="3" xfId="0" applyBorder="1" applyFont="1" applyNumberFormat="1"/>
    <xf borderId="12" fillId="0" fontId="13" numFmtId="3" xfId="0" applyBorder="1" applyFont="1" applyNumberFormat="1"/>
    <xf borderId="12" fillId="28" fontId="5" numFmtId="3" xfId="0" applyBorder="1" applyFont="1" applyNumberFormat="1"/>
    <xf borderId="12" fillId="0" fontId="5" numFmtId="3" xfId="0" applyBorder="1" applyFont="1" applyNumberFormat="1"/>
    <xf borderId="12" fillId="6" fontId="14" numFmtId="0" xfId="0" applyBorder="1" applyFont="1"/>
    <xf borderId="0" fillId="6" fontId="75" numFmtId="0" xfId="0" applyAlignment="1" applyFont="1">
      <alignment horizontal="center" shrinkToFit="1" wrapText="0"/>
    </xf>
    <xf borderId="12" fillId="0" fontId="5" numFmtId="170" xfId="0" applyBorder="1" applyFont="1" applyNumberFormat="1"/>
    <xf borderId="0" fillId="6" fontId="74" numFmtId="0" xfId="0" applyFont="1"/>
    <xf borderId="12" fillId="3" fontId="5" numFmtId="0" xfId="0" applyBorder="1" applyFont="1"/>
    <xf borderId="12" fillId="28" fontId="5" numFmtId="170" xfId="0" applyBorder="1" applyFont="1" applyNumberFormat="1"/>
    <xf borderId="0" fillId="6" fontId="13" numFmtId="0" xfId="0" applyFont="1"/>
    <xf borderId="0" fillId="6" fontId="13" numFmtId="3" xfId="0" applyFont="1" applyNumberFormat="1"/>
    <xf borderId="0" fillId="0" fontId="5" numFmtId="0" xfId="0" applyFont="1"/>
    <xf borderId="0" fillId="0" fontId="5" numFmtId="170" xfId="0" applyFont="1" applyNumberFormat="1"/>
    <xf borderId="63" fillId="27" fontId="14" numFmtId="0" xfId="0" applyAlignment="1" applyBorder="1" applyFont="1">
      <alignment horizontal="center"/>
    </xf>
    <xf borderId="64" fillId="27" fontId="13" numFmtId="17" xfId="0" applyBorder="1" applyFont="1" applyNumberFormat="1"/>
    <xf borderId="12" fillId="27" fontId="13" numFmtId="17" xfId="0" applyBorder="1" applyFont="1" applyNumberFormat="1"/>
    <xf borderId="12" fillId="6" fontId="74" numFmtId="0" xfId="0" applyBorder="1" applyFont="1"/>
    <xf borderId="12" fillId="0" fontId="14" numFmtId="170" xfId="0" applyBorder="1" applyFont="1" applyNumberFormat="1"/>
    <xf borderId="12" fillId="3" fontId="14" numFmtId="170" xfId="0" applyBorder="1" applyFont="1" applyNumberFormat="1"/>
    <xf borderId="12" fillId="28" fontId="14" numFmtId="0" xfId="0" applyBorder="1" applyFont="1"/>
    <xf borderId="12" fillId="3" fontId="5" numFmtId="169" xfId="0" applyBorder="1" applyFont="1" applyNumberFormat="1"/>
    <xf borderId="12" fillId="19" fontId="12" numFmtId="0" xfId="0" applyAlignment="1" applyBorder="1" applyFont="1">
      <alignment horizontal="center" vertical="bottom"/>
    </xf>
    <xf borderId="12" fillId="19" fontId="12" numFmtId="171" xfId="0" applyAlignment="1" applyBorder="1" applyFont="1" applyNumberFormat="1">
      <alignment horizontal="center" readingOrder="0" vertical="bottom"/>
    </xf>
    <xf borderId="0" fillId="0" fontId="12" numFmtId="0" xfId="0" applyAlignment="1" applyFont="1">
      <alignment vertical="bottom"/>
    </xf>
    <xf borderId="0" fillId="0" fontId="12" numFmtId="0" xfId="0" applyAlignment="1" applyFont="1">
      <alignment horizontal="right" vertical="bottom"/>
    </xf>
    <xf borderId="12" fillId="6" fontId="12" numFmtId="0" xfId="0" applyAlignment="1" applyBorder="1" applyFont="1">
      <alignment horizontal="center" vertical="bottom"/>
    </xf>
    <xf borderId="12" fillId="6" fontId="76" numFmtId="170" xfId="0" applyAlignment="1" applyBorder="1" applyFont="1" applyNumberFormat="1">
      <alignment horizontal="right" readingOrder="0" vertical="bottom"/>
    </xf>
    <xf borderId="12" fillId="6" fontId="12" numFmtId="0" xfId="0" applyAlignment="1" applyBorder="1" applyFont="1">
      <alignment horizontal="right" vertical="bottom"/>
    </xf>
    <xf borderId="0" fillId="6" fontId="76" numFmtId="0" xfId="0" applyAlignment="1" applyFont="1">
      <alignment horizontal="right" vertical="bottom"/>
    </xf>
    <xf borderId="12" fillId="6" fontId="12" numFmtId="9" xfId="0" applyAlignment="1" applyBorder="1" applyFont="1" applyNumberFormat="1">
      <alignment horizontal="right" readingOrder="0" vertical="bottom"/>
    </xf>
    <xf borderId="0" fillId="0" fontId="12" numFmtId="9" xfId="0" applyAlignment="1" applyFont="1" applyNumberFormat="1">
      <alignment horizontal="right" vertical="bottom"/>
    </xf>
    <xf borderId="0" fillId="6" fontId="15" numFmtId="170" xfId="0" applyAlignment="1" applyFont="1" applyNumberFormat="1">
      <alignment horizontal="right" readingOrder="0"/>
    </xf>
    <xf borderId="12" fillId="6" fontId="12" numFmtId="170" xfId="0" applyAlignment="1" applyBorder="1" applyFont="1" applyNumberFormat="1">
      <alignment horizontal="right" vertical="bottom"/>
    </xf>
    <xf borderId="12" fillId="3" fontId="12" numFmtId="0" xfId="0" applyAlignment="1" applyBorder="1" applyFont="1">
      <alignment horizontal="center" vertical="bottom"/>
    </xf>
    <xf borderId="12" fillId="3" fontId="12" numFmtId="0" xfId="0" applyAlignment="1" applyBorder="1" applyFont="1">
      <alignment horizontal="right" vertical="bottom"/>
    </xf>
    <xf borderId="1" fillId="20" fontId="12" numFmtId="0" xfId="0" applyAlignment="1" applyBorder="1" applyFont="1">
      <alignment horizontal="center"/>
    </xf>
    <xf borderId="12" fillId="2" fontId="12" numFmtId="0" xfId="0" applyAlignment="1" applyBorder="1" applyFont="1">
      <alignment vertical="bottom"/>
    </xf>
    <xf borderId="12" fillId="2" fontId="12" numFmtId="10" xfId="0" applyAlignment="1" applyBorder="1" applyFont="1" applyNumberFormat="1">
      <alignment horizontal="right" readingOrder="0" vertical="bottom"/>
    </xf>
    <xf borderId="1" fillId="21" fontId="12" numFmtId="0" xfId="0" applyAlignment="1" applyBorder="1" applyFont="1">
      <alignment readingOrder="0"/>
    </xf>
    <xf borderId="12" fillId="0" fontId="12" numFmtId="0" xfId="0" applyAlignment="1" applyBorder="1" applyFont="1">
      <alignment vertical="bottom"/>
    </xf>
    <xf borderId="12" fillId="0" fontId="12" numFmtId="0" xfId="0" applyAlignment="1" applyBorder="1" applyFont="1">
      <alignment horizontal="right" vertical="bottom"/>
    </xf>
    <xf borderId="12" fillId="0" fontId="12" numFmtId="10" xfId="0" applyAlignment="1" applyBorder="1" applyFont="1" applyNumberFormat="1">
      <alignment horizontal="right" vertical="bottom"/>
    </xf>
    <xf borderId="12" fillId="0" fontId="12" numFmtId="10" xfId="0" applyAlignment="1" applyBorder="1" applyFont="1" applyNumberFormat="1">
      <alignment vertical="bottom"/>
    </xf>
    <xf borderId="12" fillId="25" fontId="12" numFmtId="0" xfId="0" applyAlignment="1" applyBorder="1" applyFont="1">
      <alignment vertical="bottom"/>
    </xf>
    <xf borderId="12" fillId="25" fontId="12" numFmtId="0" xfId="0" applyAlignment="1" applyBorder="1" applyFont="1">
      <alignment horizontal="right" vertical="bottom"/>
    </xf>
    <xf borderId="12" fillId="0" fontId="77" numFmtId="3" xfId="0" applyAlignment="1" applyBorder="1" applyFont="1" applyNumberFormat="1">
      <alignment horizontal="right"/>
    </xf>
    <xf borderId="12" fillId="0" fontId="12" numFmtId="3" xfId="0" applyAlignment="1" applyBorder="1" applyFont="1" applyNumberFormat="1">
      <alignment vertical="bottom"/>
    </xf>
    <xf borderId="12" fillId="0" fontId="12" numFmtId="0" xfId="0" applyAlignment="1" applyBorder="1" applyFont="1">
      <alignment readingOrder="0" vertical="bottom"/>
    </xf>
    <xf borderId="12" fillId="6" fontId="78" numFmtId="3" xfId="0" applyAlignment="1" applyBorder="1" applyFont="1" applyNumberFormat="1">
      <alignment readingOrder="0"/>
    </xf>
    <xf borderId="12" fillId="2" fontId="12" numFmtId="0" xfId="0" applyBorder="1" applyFont="1"/>
    <xf borderId="12" fillId="2" fontId="12" numFmtId="0" xfId="0" applyAlignment="1" applyBorder="1" applyFont="1">
      <alignment readingOrder="0"/>
    </xf>
    <xf borderId="1" fillId="3" fontId="15" numFmtId="0" xfId="0" applyAlignment="1" applyBorder="1" applyFont="1">
      <alignment vertical="bottom"/>
    </xf>
    <xf borderId="0" fillId="0" fontId="79" numFmtId="0" xfId="0" applyAlignment="1" applyFont="1">
      <alignment readingOrder="0"/>
    </xf>
    <xf borderId="0" fillId="0" fontId="4" numFmtId="0" xfId="0" applyAlignment="1" applyFont="1">
      <alignment horizontal="right"/>
    </xf>
    <xf borderId="65" fillId="0" fontId="80" numFmtId="0" xfId="0" applyAlignment="1" applyBorder="1" applyFont="1">
      <alignment horizontal="left" readingOrder="0" shrinkToFit="0" wrapText="0"/>
    </xf>
    <xf borderId="12" fillId="3" fontId="12" numFmtId="0" xfId="0" applyAlignment="1" applyBorder="1" applyFont="1">
      <alignment horizontal="left" readingOrder="0" shrinkToFit="0" wrapText="0"/>
    </xf>
    <xf borderId="12" fillId="3" fontId="81" numFmtId="0" xfId="0" applyAlignment="1" applyBorder="1" applyFont="1">
      <alignment horizontal="center" readingOrder="0"/>
    </xf>
    <xf borderId="12" fillId="3" fontId="12" numFmtId="0" xfId="0" applyAlignment="1" applyBorder="1" applyFont="1">
      <alignment horizontal="center" readingOrder="0"/>
    </xf>
    <xf borderId="12" fillId="3" fontId="81" numFmtId="0" xfId="0" applyAlignment="1" applyBorder="1" applyFont="1">
      <alignment horizontal="center" readingOrder="0"/>
    </xf>
    <xf borderId="12" fillId="3" fontId="12" numFmtId="0" xfId="0" applyAlignment="1" applyBorder="1" applyFont="1">
      <alignment horizontal="center" readingOrder="0" shrinkToFit="0" wrapText="0"/>
    </xf>
    <xf borderId="0" fillId="0" fontId="82" numFmtId="0" xfId="0" applyAlignment="1" applyFont="1">
      <alignment horizontal="left" readingOrder="0" shrinkToFit="0" wrapText="0"/>
    </xf>
    <xf borderId="12" fillId="0" fontId="83" numFmtId="0" xfId="0" applyAlignment="1" applyBorder="1" applyFont="1">
      <alignment horizontal="left" readingOrder="0" shrinkToFit="0" wrapText="0"/>
    </xf>
    <xf borderId="12" fillId="5" fontId="82" numFmtId="172" xfId="0" applyAlignment="1" applyBorder="1" applyFont="1" applyNumberFormat="1">
      <alignment horizontal="right" readingOrder="0"/>
    </xf>
    <xf borderId="12" fillId="0" fontId="12" numFmtId="0" xfId="0" applyAlignment="1" applyBorder="1" applyFont="1">
      <alignment horizontal="right" readingOrder="0"/>
    </xf>
    <xf borderId="12" fillId="6" fontId="84" numFmtId="0" xfId="0" applyAlignment="1" applyBorder="1" applyFont="1">
      <alignment horizontal="right" readingOrder="0"/>
    </xf>
    <xf borderId="12" fillId="5" fontId="82" numFmtId="0" xfId="0" applyAlignment="1" applyBorder="1" applyFont="1">
      <alignment horizontal="right" readingOrder="0"/>
    </xf>
    <xf borderId="12" fillId="0" fontId="12" numFmtId="0" xfId="0" applyAlignment="1" applyBorder="1" applyFont="1">
      <alignment horizontal="right" readingOrder="0" shrinkToFit="0" wrapText="0"/>
    </xf>
    <xf borderId="12" fillId="0" fontId="85" numFmtId="0" xfId="0" applyAlignment="1" applyBorder="1" applyFont="1">
      <alignment horizontal="left" readingOrder="0" shrinkToFit="0" wrapText="0"/>
    </xf>
    <xf borderId="12" fillId="5" fontId="84" numFmtId="0" xfId="0" applyAlignment="1" applyBorder="1" applyFont="1">
      <alignment horizontal="right" readingOrder="0"/>
    </xf>
    <xf borderId="12" fillId="0" fontId="12" numFmtId="0" xfId="0" applyAlignment="1" applyBorder="1" applyFont="1">
      <alignment horizontal="right" readingOrder="0" shrinkToFit="0" wrapText="0"/>
    </xf>
    <xf borderId="12" fillId="19" fontId="86" numFmtId="0" xfId="0" applyAlignment="1" applyBorder="1" applyFont="1">
      <alignment horizontal="left" readingOrder="0" shrinkToFit="0" wrapText="0"/>
    </xf>
    <xf borderId="12" fillId="19" fontId="82" numFmtId="172" xfId="0" applyAlignment="1" applyBorder="1" applyFont="1" applyNumberFormat="1">
      <alignment horizontal="right" readingOrder="0"/>
    </xf>
    <xf borderId="12" fillId="19" fontId="12" numFmtId="0" xfId="0" applyAlignment="1" applyBorder="1" applyFont="1">
      <alignment horizontal="right" readingOrder="0"/>
    </xf>
    <xf borderId="12" fillId="19" fontId="84" numFmtId="0" xfId="0" applyAlignment="1" applyBorder="1" applyFont="1">
      <alignment horizontal="right" readingOrder="0"/>
    </xf>
    <xf borderId="12" fillId="19" fontId="82" numFmtId="0" xfId="0" applyAlignment="1" applyBorder="1" applyFont="1">
      <alignment horizontal="right" readingOrder="0"/>
    </xf>
    <xf borderId="12" fillId="19" fontId="12" numFmtId="0" xfId="0" applyAlignment="1" applyBorder="1" applyFont="1">
      <alignment horizontal="right" readingOrder="0" shrinkToFit="0" wrapText="0"/>
    </xf>
    <xf borderId="12" fillId="6" fontId="82" numFmtId="172" xfId="0" applyAlignment="1" applyBorder="1" applyFont="1" applyNumberFormat="1">
      <alignment horizontal="right" readingOrder="0"/>
    </xf>
    <xf borderId="12" fillId="6" fontId="82" numFmtId="0" xfId="0" applyAlignment="1" applyBorder="1" applyFont="1">
      <alignment horizontal="right" readingOrder="0"/>
    </xf>
    <xf borderId="0" fillId="6" fontId="12" numFmtId="0" xfId="0" applyAlignment="1" applyFont="1">
      <alignment readingOrder="0"/>
    </xf>
    <xf borderId="12" fillId="3" fontId="81" numFmtId="0" xfId="0" applyAlignment="1" applyBorder="1" applyFont="1">
      <alignment horizontal="right" readingOrder="0"/>
    </xf>
    <xf borderId="12" fillId="3" fontId="12" numFmtId="0" xfId="0" applyAlignment="1" applyBorder="1" applyFont="1">
      <alignment horizontal="right" readingOrder="0"/>
    </xf>
    <xf borderId="0" fillId="6" fontId="12" numFmtId="0" xfId="0" applyAlignment="1" applyFont="1">
      <alignment horizontal="left" readingOrder="0" shrinkToFit="0" wrapText="0"/>
    </xf>
    <xf borderId="12" fillId="19" fontId="84" numFmtId="172" xfId="0" applyAlignment="1" applyBorder="1" applyFont="1" applyNumberFormat="1">
      <alignment horizontal="right" readingOrder="0"/>
    </xf>
    <xf borderId="12" fillId="19" fontId="12" numFmtId="172" xfId="0" applyAlignment="1" applyBorder="1" applyFont="1" applyNumberFormat="1">
      <alignment horizontal="right" readingOrder="0"/>
    </xf>
    <xf borderId="0" fillId="6" fontId="80" numFmtId="0" xfId="0" applyAlignment="1" applyFont="1">
      <alignment horizontal="left" readingOrder="0" shrinkToFit="0" wrapText="0"/>
    </xf>
    <xf borderId="12" fillId="0" fontId="12" numFmtId="172" xfId="0" applyAlignment="1" applyBorder="1" applyFont="1" applyNumberFormat="1">
      <alignment horizontal="right" readingOrder="0"/>
    </xf>
    <xf borderId="0" fillId="6" fontId="12" numFmtId="0" xfId="0" applyAlignment="1" applyFont="1">
      <alignment horizontal="left" readingOrder="0" shrinkToFit="0" wrapText="0"/>
    </xf>
    <xf borderId="12" fillId="2" fontId="4" numFmtId="172" xfId="0" applyBorder="1" applyFont="1" applyNumberFormat="1"/>
    <xf borderId="12" fillId="2" fontId="4" numFmtId="172" xfId="0" applyAlignment="1" applyBorder="1" applyFont="1" applyNumberFormat="1">
      <alignment horizontal="right"/>
    </xf>
    <xf borderId="12" fillId="19" fontId="12" numFmtId="0" xfId="0" applyAlignment="1" applyBorder="1" applyFont="1">
      <alignment readingOrder="0"/>
    </xf>
    <xf borderId="5" fillId="0" fontId="4" numFmtId="0" xfId="0" applyAlignment="1" applyBorder="1" applyFont="1">
      <alignment horizontal="right"/>
    </xf>
    <xf borderId="1" fillId="0" fontId="87" numFmtId="0" xfId="0" applyAlignment="1" applyBorder="1" applyFont="1">
      <alignment horizontal="center" readingOrder="0"/>
    </xf>
    <xf borderId="2" fillId="0" fontId="87" numFmtId="0" xfId="0" applyAlignment="1" applyBorder="1" applyFont="1">
      <alignment horizontal="center"/>
    </xf>
    <xf borderId="0" fillId="6" fontId="87" numFmtId="0" xfId="0" applyAlignment="1" applyFont="1">
      <alignment horizontal="center" readingOrder="0"/>
    </xf>
    <xf borderId="7" fillId="0" fontId="4" numFmtId="0" xfId="0" applyAlignment="1" applyBorder="1" applyFont="1">
      <alignment readingOrder="0"/>
    </xf>
    <xf borderId="0" fillId="0" fontId="4" numFmtId="0" xfId="0" applyAlignment="1" applyFont="1">
      <alignment readingOrder="0"/>
    </xf>
    <xf borderId="0" fillId="6" fontId="4" numFmtId="0" xfId="0" applyAlignment="1" applyFont="1">
      <alignment readingOrder="0"/>
    </xf>
    <xf borderId="9" fillId="0" fontId="4" numFmtId="0" xfId="0" applyAlignment="1" applyBorder="1" applyFont="1">
      <alignment readingOrder="0"/>
    </xf>
    <xf borderId="10" fillId="0" fontId="4" numFmtId="0" xfId="0" applyAlignment="1" applyBorder="1" applyFont="1">
      <alignment readingOrder="0"/>
    </xf>
    <xf borderId="7" fillId="3" fontId="4" numFmtId="0" xfId="0" applyAlignment="1" applyBorder="1" applyFont="1">
      <alignment readingOrder="0"/>
    </xf>
    <xf borderId="1" fillId="0" fontId="87" numFmtId="0" xfId="0" applyAlignment="1" applyBorder="1" applyFont="1">
      <alignment horizontal="center"/>
    </xf>
    <xf borderId="2" fillId="0" fontId="87" numFmtId="0" xfId="0" applyAlignment="1" applyBorder="1" applyFont="1">
      <alignment horizontal="center" readingOrder="0"/>
    </xf>
    <xf borderId="0" fillId="6" fontId="87" numFmtId="0" xfId="0" applyAlignment="1" applyFont="1">
      <alignment horizontal="center"/>
    </xf>
    <xf borderId="0" fillId="0" fontId="4" numFmtId="0" xfId="0" applyAlignment="1" applyFont="1">
      <alignment horizontal="right" readingOrder="0"/>
    </xf>
    <xf borderId="10" fillId="0" fontId="4" numFmtId="0" xfId="0" applyAlignment="1" applyBorder="1" applyFont="1">
      <alignment horizontal="right"/>
    </xf>
    <xf borderId="10" fillId="0" fontId="4" numFmtId="0" xfId="0" applyAlignment="1" applyBorder="1" applyFont="1">
      <alignment horizontal="right" readingOrder="0"/>
    </xf>
    <xf borderId="7" fillId="0" fontId="4" numFmtId="0" xfId="0" applyAlignment="1" applyBorder="1" applyFont="1">
      <alignment readingOrder="0"/>
    </xf>
    <xf borderId="12" fillId="2" fontId="12" numFmtId="0" xfId="0" applyAlignment="1" applyBorder="1" applyFont="1">
      <alignment horizontal="center" readingOrder="0"/>
    </xf>
    <xf borderId="0" fillId="6" fontId="4" numFmtId="0" xfId="0" applyAlignment="1" applyFont="1">
      <alignment readingOrder="0"/>
    </xf>
    <xf borderId="12" fillId="2" fontId="24" numFmtId="172" xfId="0" applyAlignment="1" applyBorder="1" applyFont="1" applyNumberFormat="1">
      <alignment horizontal="center"/>
    </xf>
    <xf borderId="12" fillId="2" fontId="23" numFmtId="0" xfId="0" applyAlignment="1" applyBorder="1" applyFont="1">
      <alignment horizontal="center" readingOrder="0"/>
    </xf>
    <xf borderId="12" fillId="2" fontId="24" numFmtId="0" xfId="0" applyAlignment="1" applyBorder="1" applyFont="1">
      <alignment horizontal="center"/>
    </xf>
    <xf borderId="12" fillId="3" fontId="4" numFmtId="0" xfId="0" applyAlignment="1" applyBorder="1" applyFont="1">
      <alignment readingOrder="0"/>
    </xf>
    <xf borderId="9" fillId="0" fontId="4" numFmtId="0" xfId="0" applyAlignment="1" applyBorder="1" applyFont="1">
      <alignment readingOrder="0"/>
    </xf>
    <xf borderId="9" fillId="0" fontId="4" numFmtId="0" xfId="0" applyBorder="1" applyFont="1"/>
    <xf borderId="12" fillId="12" fontId="12" numFmtId="0" xfId="0" applyAlignment="1" applyBorder="1" applyFont="1">
      <alignment horizontal="center" readingOrder="0"/>
    </xf>
    <xf borderId="4" fillId="12" fontId="12" numFmtId="0" xfId="0" applyAlignment="1" applyBorder="1" applyFont="1">
      <alignment horizontal="center" readingOrder="0" shrinkToFit="0" vertical="center" wrapText="1"/>
    </xf>
    <xf borderId="0" fillId="6" fontId="12" numFmtId="0" xfId="0" applyAlignment="1" applyFont="1">
      <alignment horizontal="center" readingOrder="0"/>
    </xf>
    <xf borderId="12" fillId="12" fontId="4" numFmtId="172" xfId="0" applyAlignment="1" applyBorder="1" applyFont="1" applyNumberFormat="1">
      <alignment horizontal="center"/>
    </xf>
    <xf borderId="12" fillId="12" fontId="4" numFmtId="0" xfId="0" applyAlignment="1" applyBorder="1" applyFont="1">
      <alignment horizontal="center"/>
    </xf>
    <xf borderId="0" fillId="0" fontId="14" numFmtId="0" xfId="0" applyAlignment="1" applyFont="1">
      <alignment shrinkToFit="0" vertical="bottom" wrapText="0"/>
    </xf>
    <xf borderId="0" fillId="0" fontId="88" numFmtId="0" xfId="0" applyAlignment="1" applyFont="1">
      <alignment shrinkToFit="0" vertical="bottom" wrapText="0"/>
    </xf>
    <xf borderId="0" fillId="0" fontId="89" numFmtId="0" xfId="0" applyAlignment="1" applyFont="1">
      <alignment readingOrder="0" shrinkToFit="0" vertical="bottom"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7">
    <tableStyle count="4" pivot="0" name="INDEX-style">
      <tableStyleElement dxfId="1" type="headerRow"/>
      <tableStyleElement dxfId="2" type="firstRowStripe"/>
      <tableStyleElement dxfId="3" type="secondRowStripe"/>
      <tableStyleElement dxfId="4" size="0" type="wholeTable"/>
    </tableStyle>
    <tableStyle count="3" pivot="0" name="Balance Sheet-style">
      <tableStyleElement dxfId="1" type="headerRow"/>
      <tableStyleElement dxfId="2" type="firstRowStripe"/>
      <tableStyleElement dxfId="3" type="secondRowStripe"/>
    </tableStyle>
    <tableStyle count="3" pivot="0" name="Profit and Loss Statement-style">
      <tableStyleElement dxfId="1" type="headerRow"/>
      <tableStyleElement dxfId="2" type="firstRowStripe"/>
      <tableStyleElement dxfId="3" type="secondRowStripe"/>
    </tableStyle>
    <tableStyle count="3" pivot="0" name="Cash Flow Statement-style">
      <tableStyleElement dxfId="1" type="headerRow"/>
      <tableStyleElement dxfId="2" type="firstRowStripe"/>
      <tableStyleElement dxfId="3" type="secondRowStripe"/>
    </tableStyle>
    <tableStyle count="3" pivot="0" name="Share Holding Pattern -style">
      <tableStyleElement dxfId="1" type="headerRow"/>
      <tableStyleElement dxfId="2" type="firstRowStripe"/>
      <tableStyleElement dxfId="3" type="secondRowStripe"/>
    </tableStyle>
    <tableStyle count="3" pivot="0" name="Data_sheet for growth-style">
      <tableStyleElement dxfId="1" type="headerRow"/>
      <tableStyleElement dxfId="2" type="firstRowStripe"/>
      <tableStyleElement dxfId="3" type="secondRowStripe"/>
    </tableStyle>
    <tableStyle count="4" pivot="0" name="Referenc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352425</xdr:colOff>
      <xdr:row>5</xdr:row>
      <xdr:rowOff>180975</xdr:rowOff>
    </xdr:from>
    <xdr:ext cx="6362700" cy="1952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219075</xdr:colOff>
      <xdr:row>6</xdr:row>
      <xdr:rowOff>57150</xdr:rowOff>
    </xdr:from>
    <xdr:ext cx="7296150" cy="1933575"/>
    <xdr:pic>
      <xdr:nvPicPr>
        <xdr:cNvPr descr="Beta (β)"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C4:E21" displayName="Table2" name="Table2" id="1">
  <tableColumns count="3">
    <tableColumn name="Sr No." id="1"/>
    <tableColumn name="Particulars" id="2"/>
    <tableColumn name="Link to Sheet" id="3"/>
  </tableColumns>
  <tableStyleInfo name="INDEX-style" showColumnStripes="0" showFirstColumn="1" showLastColumn="1" showRowStripes="1"/>
</table>
</file>

<file path=xl/tables/table2.xml><?xml version="1.0" encoding="utf-8"?>
<table xmlns="http://schemas.openxmlformats.org/spreadsheetml/2006/main" ref="B2:N38" displayName="Table_1" name="Table_1" id="2">
  <tableColumns count="13">
    <tableColumn name="Column 1" id="1"/>
    <tableColumn name="Mar-14" id="2"/>
    <tableColumn name="Mar-15" id="3"/>
    <tableColumn name="Mar-16" id="4"/>
    <tableColumn name="Mar-17" id="5"/>
    <tableColumn name="Mar-18" id="6"/>
    <tableColumn name="Mar-19" id="7"/>
    <tableColumn name="Mar-20" id="8"/>
    <tableColumn name="Mar-21" id="9"/>
    <tableColumn name="Mar-22" id="10"/>
    <tableColumn name="Mar-23" id="11"/>
    <tableColumn name="Mar-24" id="12"/>
    <tableColumn name="Mar-25" id="13"/>
  </tableColumns>
  <tableStyleInfo name="Balance Sheet-style" showColumnStripes="0" showFirstColumn="1" showLastColumn="1" showRowStripes="1"/>
</table>
</file>

<file path=xl/tables/table3.xml><?xml version="1.0" encoding="utf-8"?>
<table xmlns="http://schemas.openxmlformats.org/spreadsheetml/2006/main" ref="B2:N24" displayName="Table_2" name="Table_2" id="3">
  <tableColumns count="13">
    <tableColumn name="Column 1" id="1"/>
    <tableColumn name="Mar-14" id="2"/>
    <tableColumn name="Mar-15" id="3"/>
    <tableColumn name="Mar-16" id="4"/>
    <tableColumn name="Mar-17" id="5"/>
    <tableColumn name="Mar-18" id="6"/>
    <tableColumn name="Mar-19" id="7"/>
    <tableColumn name="Mar-20" id="8"/>
    <tableColumn name="Mar-21" id="9"/>
    <tableColumn name="Mar-22" id="10"/>
    <tableColumn name="Mar-23" id="11"/>
    <tableColumn name="Mar-24" id="12"/>
    <tableColumn name="Mar-25" id="13"/>
  </tableColumns>
  <tableStyleInfo name="Profit and Loss Statement-style" showColumnStripes="0" showFirstColumn="1" showLastColumn="1" showRowStripes="1"/>
</table>
</file>

<file path=xl/tables/table4.xml><?xml version="1.0" encoding="utf-8"?>
<table xmlns="http://schemas.openxmlformats.org/spreadsheetml/2006/main" ref="B2:N34" displayName="Table_3" name="Table_3" id="4">
  <tableColumns count="13">
    <tableColumn name="Column 1" id="1"/>
    <tableColumn name="Mar-14" id="2"/>
    <tableColumn name="Mar-15" id="3"/>
    <tableColumn name="Mar-16" id="4"/>
    <tableColumn name="Mar-17" id="5"/>
    <tableColumn name="Mar-18" id="6"/>
    <tableColumn name="Mar-19" id="7"/>
    <tableColumn name="Mar-20" id="8"/>
    <tableColumn name="Mar-21" id="9"/>
    <tableColumn name="Mar-22" id="10"/>
    <tableColumn name="Mar-23" id="11"/>
    <tableColumn name="Mar-24" id="12"/>
    <tableColumn name="Mar-25" id="13"/>
  </tableColumns>
  <tableStyleInfo name="Cash Flow Statement-style" showColumnStripes="0" showFirstColumn="1" showLastColumn="1" showRowStripes="1"/>
</table>
</file>

<file path=xl/tables/table5.xml><?xml version="1.0" encoding="utf-8"?>
<table xmlns="http://schemas.openxmlformats.org/spreadsheetml/2006/main" ref="B2:K34" displayName="Table_4" name="Table_4" id="5">
  <tableColumns count="10">
    <tableColumn name="Column 1" id="1"/>
    <tableColumn name="Mar-17" id="2"/>
    <tableColumn name="Mar-18" id="3"/>
    <tableColumn name="Mar-19" id="4"/>
    <tableColumn name="Mar-20" id="5"/>
    <tableColumn name="Mar-21" id="6"/>
    <tableColumn name="Mar-22" id="7"/>
    <tableColumn name="Mar-23" id="8"/>
    <tableColumn name="Mar-24" id="9"/>
    <tableColumn name="Mar-25" id="10"/>
  </tableColumns>
  <tableStyleInfo name="Share Holding Pattern -style" showColumnStripes="0" showFirstColumn="1" showLastColumn="1" showRowStripes="1"/>
</table>
</file>

<file path=xl/tables/table6.xml><?xml version="1.0" encoding="utf-8"?>
<table xmlns="http://schemas.openxmlformats.org/spreadsheetml/2006/main" headerRowCount="0" ref="B2:N42" displayName="Table_5" name="Table_5" id="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Data_sheet for growth-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2:B12" displayName="Table1" name="Table1" id="7">
  <tableColumns count="2">
    <tableColumn name="Column 1" id="1"/>
    <tableColumn name="Column 3" id="2"/>
  </tableColumns>
  <tableStyleInfo name="Referen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screener.in/people/12691/uti-value-opportunities-fund/" TargetMode="External"/><Relationship Id="rId22" Type="http://schemas.openxmlformats.org/officeDocument/2006/relationships/hyperlink" Target="https://www.screener.in/people/353/hdfc-life-insurance-company-limited/" TargetMode="External"/><Relationship Id="rId21" Type="http://schemas.openxmlformats.org/officeDocument/2006/relationships/hyperlink" Target="https://www.screener.in/people/18916/reliance-capital-trustee-co-ltdac-reliance-multi-cap-fund/" TargetMode="External"/><Relationship Id="rId24" Type="http://schemas.openxmlformats.org/officeDocument/2006/relationships/hyperlink" Target="https://www.screener.in/people/427/the-new-india-assurance-company-limited/" TargetMode="External"/><Relationship Id="rId23" Type="http://schemas.openxmlformats.org/officeDocument/2006/relationships/hyperlink" Target="https://www.screener.in/people/246/general-insurance-corporation-of-india/" TargetMode="External"/><Relationship Id="rId1" Type="http://schemas.openxmlformats.org/officeDocument/2006/relationships/hyperlink" Target="https://www.screener.in/people/8395/torrent-investments-private-limited/" TargetMode="External"/><Relationship Id="rId2" Type="http://schemas.openxmlformats.org/officeDocument/2006/relationships/hyperlink" Target="https://www.screener.in/people/74245/torrent-private-limited/" TargetMode="External"/><Relationship Id="rId3" Type="http://schemas.openxmlformats.org/officeDocument/2006/relationships/hyperlink" Target="https://www.screener.in/people/74262/torrent-investments-private-limited-formerly-known-as-torrent-private-limited/" TargetMode="External"/><Relationship Id="rId4" Type="http://schemas.openxmlformats.org/officeDocument/2006/relationships/hyperlink" Target="https://www.screener.in/people/167113/torrent-investments-limited-formerly-known-as-torrent-investments-private-limited/" TargetMode="External"/><Relationship Id="rId9" Type="http://schemas.openxmlformats.org/officeDocument/2006/relationships/hyperlink" Target="https://www.screener.in/people/150776/mehta-family-trust-3/" TargetMode="External"/><Relationship Id="rId26" Type="http://schemas.openxmlformats.org/officeDocument/2006/relationships/hyperlink" Target="https://www.screener.in/people/54799/reliance-capital-trustee-co-ltd-ac-reliance-diversified-power-sector-fund/" TargetMode="External"/><Relationship Id="rId25" Type="http://schemas.openxmlformats.org/officeDocument/2006/relationships/hyperlink" Target="https://www.screener.in/people/26388/franklin-india-prima-fund/" TargetMode="External"/><Relationship Id="rId27" Type="http://schemas.openxmlformats.org/officeDocument/2006/relationships/drawing" Target="../drawings/drawing5.xml"/><Relationship Id="rId5" Type="http://schemas.openxmlformats.org/officeDocument/2006/relationships/hyperlink" Target="https://www.screener.in/people/74246/samir-uttamlal-mehta/" TargetMode="External"/><Relationship Id="rId6" Type="http://schemas.openxmlformats.org/officeDocument/2006/relationships/hyperlink" Target="https://www.screener.in/people/74248/sudhir-uttamlal-mehta/" TargetMode="External"/><Relationship Id="rId29" Type="http://schemas.openxmlformats.org/officeDocument/2006/relationships/table" Target="../tables/table5.xml"/><Relationship Id="rId7" Type="http://schemas.openxmlformats.org/officeDocument/2006/relationships/hyperlink" Target="https://www.screener.in/people/74252/jinal-sudhir-mehta/" TargetMode="External"/><Relationship Id="rId8" Type="http://schemas.openxmlformats.org/officeDocument/2006/relationships/hyperlink" Target="https://www.screener.in/people/150775/mehta-family-trust-4/" TargetMode="External"/><Relationship Id="rId11" Type="http://schemas.openxmlformats.org/officeDocument/2006/relationships/hyperlink" Target="https://www.screener.in/people/150778/mehta-family-trust-1/" TargetMode="External"/><Relationship Id="rId10" Type="http://schemas.openxmlformats.org/officeDocument/2006/relationships/hyperlink" Target="https://www.screener.in/people/150777/mehta-family-trust-2/" TargetMode="External"/><Relationship Id="rId13" Type="http://schemas.openxmlformats.org/officeDocument/2006/relationships/hyperlink" Target="https://www.screener.in/people/144656/axis-elss-tax-saver-fund/" TargetMode="External"/><Relationship Id="rId12" Type="http://schemas.openxmlformats.org/officeDocument/2006/relationships/hyperlink" Target="https://www.screener.in/people/52770/sbi-mutual-funds/" TargetMode="External"/><Relationship Id="rId15" Type="http://schemas.openxmlformats.org/officeDocument/2006/relationships/hyperlink" Target="https://www.screener.in/people/2873/sbi-long-term-equity-fund/" TargetMode="External"/><Relationship Id="rId14" Type="http://schemas.openxmlformats.org/officeDocument/2006/relationships/hyperlink" Target="https://www.screener.in/people/7539/axis-mutual-fund-trustee-limited-ac-axis-mutual-fund-ac-axis-long-term-equity-fund/" TargetMode="External"/><Relationship Id="rId17" Type="http://schemas.openxmlformats.org/officeDocument/2006/relationships/hyperlink" Target="https://www.screener.in/people/33062/sbi-focused-equity-fund/" TargetMode="External"/><Relationship Id="rId16" Type="http://schemas.openxmlformats.org/officeDocument/2006/relationships/hyperlink" Target="https://www.screener.in/people/123150/life-insurance-corporation-of-india/" TargetMode="External"/><Relationship Id="rId19" Type="http://schemas.openxmlformats.org/officeDocument/2006/relationships/hyperlink" Target="https://www.screener.in/people/8312/uti-mid-cap-fund/" TargetMode="External"/><Relationship Id="rId18" Type="http://schemas.openxmlformats.org/officeDocument/2006/relationships/hyperlink" Target="https://www.screener.in/people/78873/axis-mutual-fund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reener.in/company/TORNTPOWER/"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hyperlink" Target="https://www.screener.in/company/ADANIENSOL/consolidated/" TargetMode="External"/><Relationship Id="rId22" Type="http://schemas.openxmlformats.org/officeDocument/2006/relationships/hyperlink" Target="https://www.screener.in/company/NHPC/consolidated/" TargetMode="External"/><Relationship Id="rId21" Type="http://schemas.openxmlformats.org/officeDocument/2006/relationships/hyperlink" Target="https://www.screener.in/company/JSWENERGY/consolidated/" TargetMode="External"/><Relationship Id="rId24" Type="http://schemas.openxmlformats.org/officeDocument/2006/relationships/hyperlink" Target="https://www.screener.in/company/NLCINDIA/consolidated/" TargetMode="External"/><Relationship Id="rId23" Type="http://schemas.openxmlformats.org/officeDocument/2006/relationships/hyperlink" Target="https://www.screener.in/company/SJVN/consolidated/" TargetMode="External"/><Relationship Id="rId1" Type="http://schemas.openxmlformats.org/officeDocument/2006/relationships/hyperlink" Target="https://www.screener.in/company/TATAPOWER/consolidated/" TargetMode="External"/><Relationship Id="rId2" Type="http://schemas.openxmlformats.org/officeDocument/2006/relationships/hyperlink" Target="https://www.screener.in/company/ADANIPOWER/consolidated/" TargetMode="External"/><Relationship Id="rId3" Type="http://schemas.openxmlformats.org/officeDocument/2006/relationships/hyperlink" Target="https://www.screener.in/company/TORNTPOWER/consolidated/" TargetMode="External"/><Relationship Id="rId4" Type="http://schemas.openxmlformats.org/officeDocument/2006/relationships/hyperlink" Target="https://www.screener.in/company/NTPC/consolidated/" TargetMode="External"/><Relationship Id="rId9" Type="http://schemas.openxmlformats.org/officeDocument/2006/relationships/hyperlink" Target="https://www.screener.in/company/NHPC/consolidated/" TargetMode="External"/><Relationship Id="rId26" Type="http://schemas.openxmlformats.org/officeDocument/2006/relationships/hyperlink" Target="https://www.screener.in/company/NAVA/consolidated/" TargetMode="External"/><Relationship Id="rId25" Type="http://schemas.openxmlformats.org/officeDocument/2006/relationships/hyperlink" Target="https://www.screener.in/company/CESC/consolidated/" TargetMode="External"/><Relationship Id="rId27" Type="http://schemas.openxmlformats.org/officeDocument/2006/relationships/drawing" Target="../drawings/drawing16.xml"/><Relationship Id="rId5" Type="http://schemas.openxmlformats.org/officeDocument/2006/relationships/hyperlink" Target="https://www.screener.in/company/POWERGRID/consolidated/" TargetMode="External"/><Relationship Id="rId6" Type="http://schemas.openxmlformats.org/officeDocument/2006/relationships/hyperlink" Target="https://www.screener.in/company/ADANIGREEN/consolidated/" TargetMode="External"/><Relationship Id="rId7" Type="http://schemas.openxmlformats.org/officeDocument/2006/relationships/hyperlink" Target="https://www.screener.in/company/ADANIENSOL/consolidated/" TargetMode="External"/><Relationship Id="rId8" Type="http://schemas.openxmlformats.org/officeDocument/2006/relationships/hyperlink" Target="https://www.screener.in/company/JSWENERGY/consolidated/" TargetMode="External"/><Relationship Id="rId11" Type="http://schemas.openxmlformats.org/officeDocument/2006/relationships/hyperlink" Target="https://www.screener.in/company/NLCINDIA/consolidated/" TargetMode="External"/><Relationship Id="rId10" Type="http://schemas.openxmlformats.org/officeDocument/2006/relationships/hyperlink" Target="https://www.screener.in/company/SJVN/consolidated/" TargetMode="External"/><Relationship Id="rId13" Type="http://schemas.openxmlformats.org/officeDocument/2006/relationships/hyperlink" Target="https://www.screener.in/company/NAVA/consolidated/" TargetMode="External"/><Relationship Id="rId12" Type="http://schemas.openxmlformats.org/officeDocument/2006/relationships/hyperlink" Target="https://www.screener.in/company/CESC/consolidated/" TargetMode="External"/><Relationship Id="rId15" Type="http://schemas.openxmlformats.org/officeDocument/2006/relationships/hyperlink" Target="https://www.screener.in/company/TATAPOWER/consolidated/" TargetMode="External"/><Relationship Id="rId14" Type="http://schemas.openxmlformats.org/officeDocument/2006/relationships/hyperlink" Target="https://www.screener.in/company/TORNTPOWER/consolidated/" TargetMode="External"/><Relationship Id="rId17" Type="http://schemas.openxmlformats.org/officeDocument/2006/relationships/hyperlink" Target="https://www.screener.in/company/NTPC/consolidated/" TargetMode="External"/><Relationship Id="rId16" Type="http://schemas.openxmlformats.org/officeDocument/2006/relationships/hyperlink" Target="https://www.screener.in/company/ADANIPOWER/consolidated/" TargetMode="External"/><Relationship Id="rId19" Type="http://schemas.openxmlformats.org/officeDocument/2006/relationships/hyperlink" Target="https://www.screener.in/company/ADANIGREEN/consolidated/" TargetMode="External"/><Relationship Id="rId18" Type="http://schemas.openxmlformats.org/officeDocument/2006/relationships/hyperlink" Target="https://www.screener.in/company/POWERGRID/consolidated/"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screener.in/" TargetMode="External"/><Relationship Id="rId2" Type="http://schemas.openxmlformats.org/officeDocument/2006/relationships/hyperlink" Target="https://pages.stern.nyu.edu/~adamodar/New_Home_Page/datafile/ctryprem.html" TargetMode="External"/><Relationship Id="rId3" Type="http://schemas.openxmlformats.org/officeDocument/2006/relationships/drawing" Target="../drawings/drawing17.xml"/><Relationship Id="rId5"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10.56"/>
    <col customWidth="1" min="4" max="4" width="40.0"/>
    <col customWidth="1" min="5" max="5" width="27.11"/>
    <col customWidth="1" min="6" max="24" width="10.56"/>
  </cols>
  <sheetData>
    <row r="1" ht="15.75" customHeight="1">
      <c r="C1" s="1" t="s">
        <v>0</v>
      </c>
      <c r="D1" s="2"/>
      <c r="E1" s="3"/>
      <c r="F1" s="4" t="s">
        <v>1</v>
      </c>
      <c r="G1" s="2"/>
      <c r="H1" s="2"/>
      <c r="I1" s="2"/>
      <c r="J1" s="2"/>
      <c r="K1" s="2"/>
      <c r="L1" s="2"/>
      <c r="M1" s="3"/>
    </row>
    <row r="2" ht="15.75" customHeight="1"/>
    <row r="3" ht="15.75" customHeight="1"/>
    <row r="4" ht="15.75" customHeight="1">
      <c r="C4" s="5" t="s">
        <v>2</v>
      </c>
      <c r="D4" s="5" t="s">
        <v>3</v>
      </c>
      <c r="E4" s="5" t="s">
        <v>4</v>
      </c>
    </row>
    <row r="5" ht="15.75" customHeight="1">
      <c r="C5" s="6">
        <v>1.0</v>
      </c>
      <c r="D5" s="7" t="s">
        <v>5</v>
      </c>
      <c r="E5" s="8" t="s">
        <v>5</v>
      </c>
    </row>
    <row r="6" ht="15.75" customHeight="1">
      <c r="C6" s="6">
        <v>2.0</v>
      </c>
      <c r="D6" s="7" t="s">
        <v>6</v>
      </c>
      <c r="E6" s="8" t="s">
        <v>7</v>
      </c>
      <c r="F6" s="9"/>
      <c r="G6" s="10"/>
      <c r="H6" s="10"/>
      <c r="I6" s="10"/>
      <c r="J6" s="10"/>
      <c r="K6" s="10"/>
      <c r="L6" s="10"/>
      <c r="M6" s="11"/>
    </row>
    <row r="7" ht="15.75" customHeight="1">
      <c r="C7" s="6">
        <v>3.0</v>
      </c>
      <c r="D7" s="7" t="s">
        <v>8</v>
      </c>
      <c r="E7" s="8" t="s">
        <v>8</v>
      </c>
      <c r="F7" s="12"/>
      <c r="M7" s="13"/>
    </row>
    <row r="8" ht="15.75" customHeight="1">
      <c r="C8" s="6">
        <v>4.0</v>
      </c>
      <c r="D8" s="7" t="s">
        <v>9</v>
      </c>
      <c r="E8" s="8" t="s">
        <v>10</v>
      </c>
      <c r="F8" s="12"/>
      <c r="M8" s="13"/>
    </row>
    <row r="9" ht="15.75" customHeight="1">
      <c r="C9" s="6">
        <v>5.0</v>
      </c>
      <c r="D9" s="7" t="s">
        <v>11</v>
      </c>
      <c r="E9" s="8" t="s">
        <v>12</v>
      </c>
      <c r="F9" s="12"/>
      <c r="M9" s="13"/>
    </row>
    <row r="10" ht="15.75" customHeight="1">
      <c r="C10" s="6">
        <v>6.0</v>
      </c>
      <c r="D10" s="7" t="s">
        <v>13</v>
      </c>
      <c r="E10" s="8" t="s">
        <v>14</v>
      </c>
      <c r="F10" s="12"/>
      <c r="M10" s="13"/>
    </row>
    <row r="11" ht="15.75" customHeight="1">
      <c r="C11" s="6">
        <v>7.0</v>
      </c>
      <c r="D11" s="7" t="s">
        <v>15</v>
      </c>
      <c r="E11" s="8" t="s">
        <v>16</v>
      </c>
      <c r="F11" s="12"/>
      <c r="M11" s="13"/>
    </row>
    <row r="12" ht="15.75" customHeight="1">
      <c r="C12" s="6">
        <v>8.0</v>
      </c>
      <c r="D12" s="7" t="s">
        <v>17</v>
      </c>
      <c r="E12" s="8" t="s">
        <v>18</v>
      </c>
      <c r="F12" s="12"/>
      <c r="M12" s="13"/>
    </row>
    <row r="13" ht="15.75" customHeight="1">
      <c r="C13" s="6">
        <v>9.0</v>
      </c>
      <c r="D13" s="7" t="s">
        <v>19</v>
      </c>
      <c r="E13" s="8" t="s">
        <v>20</v>
      </c>
      <c r="F13" s="12"/>
      <c r="M13" s="13"/>
    </row>
    <row r="14" ht="15.75" customHeight="1">
      <c r="C14" s="6">
        <v>10.0</v>
      </c>
      <c r="D14" s="7" t="s">
        <v>21</v>
      </c>
      <c r="E14" s="8" t="s">
        <v>20</v>
      </c>
      <c r="F14" s="14"/>
      <c r="G14" s="15"/>
      <c r="H14" s="15"/>
      <c r="I14" s="15"/>
      <c r="J14" s="15"/>
      <c r="K14" s="15"/>
      <c r="L14" s="15"/>
      <c r="M14" s="16"/>
    </row>
    <row r="15" ht="15.75" customHeight="1">
      <c r="C15" s="6">
        <v>11.0</v>
      </c>
      <c r="D15" s="7" t="s">
        <v>22</v>
      </c>
      <c r="E15" s="8" t="s">
        <v>23</v>
      </c>
    </row>
    <row r="16" ht="15.75" customHeight="1">
      <c r="C16" s="6">
        <v>12.0</v>
      </c>
      <c r="D16" s="7" t="s">
        <v>24</v>
      </c>
      <c r="E16" s="8" t="s">
        <v>24</v>
      </c>
    </row>
    <row r="17" ht="15.75" customHeight="1">
      <c r="C17" s="6">
        <v>13.0</v>
      </c>
      <c r="D17" s="7" t="s">
        <v>25</v>
      </c>
      <c r="E17" s="8" t="s">
        <v>26</v>
      </c>
    </row>
    <row r="18" ht="15.75" customHeight="1">
      <c r="C18" s="6">
        <v>14.0</v>
      </c>
      <c r="D18" s="7" t="s">
        <v>27</v>
      </c>
      <c r="E18" s="8" t="s">
        <v>28</v>
      </c>
    </row>
    <row r="19" ht="15.75" customHeight="1">
      <c r="C19" s="6">
        <v>15.0</v>
      </c>
      <c r="D19" s="17" t="s">
        <v>29</v>
      </c>
      <c r="E19" s="18" t="s">
        <v>29</v>
      </c>
    </row>
    <row r="20" ht="15.75" customHeight="1">
      <c r="C20" s="19">
        <v>16.0</v>
      </c>
      <c r="D20" s="17" t="s">
        <v>30</v>
      </c>
      <c r="E20" s="8" t="s">
        <v>30</v>
      </c>
    </row>
    <row r="21" ht="15.75" customHeight="1">
      <c r="C21" s="19">
        <v>17.0</v>
      </c>
      <c r="D21" s="7" t="s">
        <v>31</v>
      </c>
      <c r="E21" s="8" t="s">
        <v>32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E1"/>
    <mergeCell ref="F1:M1"/>
    <mergeCell ref="F6:M14"/>
  </mergeCells>
  <hyperlinks>
    <hyperlink display="Balance Sheet" location="'Balance Sheet'!A1" ref="E5"/>
    <hyperlink display="Profit and Loss Statement" location="'Profit and Loss Statement'!A1" ref="E6"/>
    <hyperlink display="Cash Flow Statement" location="'Cash Flow Statement'!A1" ref="E7"/>
    <hyperlink display="Share Holding Pattern " location="'Share Holding Pattern '!A1" ref="E8"/>
    <hyperlink display="Financial ratio " location="'Financial ratio '!A1" ref="E9"/>
    <hyperlink display="Du Pont " location="'Du Pont '!A1" ref="E10"/>
    <hyperlink display="Market return" location="'Market return'!A1" ref="E11"/>
    <hyperlink display="Beta Calculation" location="'Beta Calculation'!A1" ref="E12"/>
    <hyperlink display="Peer Comparison &amp; COE" location="'Peer Comparison &amp; COE'!A1" ref="E13"/>
    <hyperlink display="Peer Comparison &amp; COE" location="'Peer Comparison &amp; COE'!A1" ref="E14"/>
    <hyperlink display="COD" location="COD!A1" ref="E15"/>
    <hyperlink display="WACC" location="WACC!A1" ref="E16"/>
    <hyperlink display="Data_sheet for growth" location="'Data_sheet for growth'!A1" ref="E17"/>
    <hyperlink display="Growth" location="Growth!A1" ref="E18"/>
    <hyperlink display="DCF " location="'DCF Valuation'!A1" ref="E19"/>
    <hyperlink display="Relative Valuation" location="'Relative Valuation'!A1" ref="E20"/>
    <hyperlink display="References" location="References!A1" ref="E21"/>
  </hyperlink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44"/>
    <col customWidth="1" min="2" max="2" width="27.11"/>
    <col customWidth="1" min="3" max="14" width="16.11"/>
    <col customWidth="1" min="15" max="15" width="0.56"/>
  </cols>
  <sheetData>
    <row r="1" ht="1.5" customHeight="1"/>
    <row r="2" ht="15.75" customHeight="1">
      <c r="B2" s="20" t="s">
        <v>33</v>
      </c>
      <c r="C2" s="21" t="s">
        <v>34</v>
      </c>
      <c r="D2" s="21" t="s">
        <v>35</v>
      </c>
      <c r="E2" s="21" t="s">
        <v>36</v>
      </c>
      <c r="F2" s="21" t="s">
        <v>37</v>
      </c>
      <c r="G2" s="21" t="s">
        <v>38</v>
      </c>
      <c r="H2" s="21" t="s">
        <v>39</v>
      </c>
      <c r="I2" s="21" t="s">
        <v>40</v>
      </c>
      <c r="J2" s="21" t="s">
        <v>41</v>
      </c>
      <c r="K2" s="21" t="s">
        <v>42</v>
      </c>
      <c r="L2" s="21" t="s">
        <v>43</v>
      </c>
      <c r="M2" s="21" t="s">
        <v>44</v>
      </c>
      <c r="N2" s="21" t="s">
        <v>45</v>
      </c>
    </row>
    <row r="3" ht="15.75" customHeight="1">
      <c r="B3" s="22" t="s">
        <v>46</v>
      </c>
      <c r="C3" s="23">
        <v>472.0</v>
      </c>
      <c r="D3" s="23">
        <v>472.0</v>
      </c>
      <c r="E3" s="23">
        <v>481.0</v>
      </c>
      <c r="F3" s="23">
        <v>481.0</v>
      </c>
      <c r="G3" s="23">
        <v>481.0</v>
      </c>
      <c r="H3" s="23">
        <v>481.0</v>
      </c>
      <c r="I3" s="23">
        <v>481.0</v>
      </c>
      <c r="J3" s="23">
        <v>481.0</v>
      </c>
      <c r="K3" s="23">
        <v>481.0</v>
      </c>
      <c r="L3" s="23">
        <v>481.0</v>
      </c>
      <c r="M3" s="23">
        <v>481.0</v>
      </c>
      <c r="N3" s="23">
        <v>504.0</v>
      </c>
    </row>
    <row r="4" ht="15.75" customHeight="1">
      <c r="B4" s="22" t="s">
        <v>47</v>
      </c>
      <c r="C4" s="24">
        <v>5704.0</v>
      </c>
      <c r="D4" s="24">
        <v>6436.0</v>
      </c>
      <c r="E4" s="24">
        <v>5978.0</v>
      </c>
      <c r="F4" s="24">
        <v>6404.0</v>
      </c>
      <c r="G4" s="24">
        <v>7212.0</v>
      </c>
      <c r="H4" s="24">
        <v>8456.0</v>
      </c>
      <c r="I4" s="24">
        <v>8707.0</v>
      </c>
      <c r="J4" s="24">
        <v>9771.0</v>
      </c>
      <c r="K4" s="24">
        <v>9485.0</v>
      </c>
      <c r="L4" s="24">
        <v>10539.0</v>
      </c>
      <c r="M4" s="24">
        <v>11558.0</v>
      </c>
      <c r="N4" s="24">
        <v>16952.0</v>
      </c>
    </row>
    <row r="5" ht="15.75" customHeight="1">
      <c r="B5" s="25" t="s">
        <v>48</v>
      </c>
      <c r="C5" s="26">
        <v>6149.0</v>
      </c>
      <c r="D5" s="26">
        <v>5629.0</v>
      </c>
      <c r="E5" s="26">
        <v>8392.0</v>
      </c>
      <c r="F5" s="26">
        <v>8666.0</v>
      </c>
      <c r="G5" s="26">
        <v>9216.0</v>
      </c>
      <c r="H5" s="26">
        <v>9116.0</v>
      </c>
      <c r="I5" s="26">
        <v>8340.0</v>
      </c>
      <c r="J5" s="26">
        <v>7200.0</v>
      </c>
      <c r="K5" s="26">
        <v>7908.0</v>
      </c>
      <c r="L5" s="26">
        <v>8430.0</v>
      </c>
      <c r="M5" s="26">
        <v>9744.0</v>
      </c>
      <c r="N5" s="26">
        <v>6388.0</v>
      </c>
    </row>
    <row r="6" ht="15.75" customHeight="1">
      <c r="B6" s="22" t="s">
        <v>49</v>
      </c>
      <c r="C6" s="26">
        <v>5594.0</v>
      </c>
      <c r="D6" s="26">
        <v>5019.0</v>
      </c>
      <c r="E6" s="26">
        <v>8096.0</v>
      </c>
      <c r="F6" s="26">
        <v>8112.0</v>
      </c>
      <c r="G6" s="26">
        <v>8502.0</v>
      </c>
      <c r="H6" s="26">
        <v>8033.0</v>
      </c>
      <c r="I6" s="26">
        <v>7296.0</v>
      </c>
      <c r="J6" s="26">
        <v>6071.0</v>
      </c>
      <c r="K6" s="26">
        <v>6120.0</v>
      </c>
      <c r="L6" s="26">
        <v>7045.0</v>
      </c>
      <c r="M6" s="26">
        <v>8285.0</v>
      </c>
      <c r="N6" s="26">
        <v>5236.0</v>
      </c>
    </row>
    <row r="7" ht="15.75" customHeight="1">
      <c r="B7" s="22" t="s">
        <v>50</v>
      </c>
      <c r="C7" s="26">
        <v>0.0</v>
      </c>
      <c r="D7" s="26">
        <v>0.0</v>
      </c>
      <c r="E7" s="26">
        <v>0.0</v>
      </c>
      <c r="F7" s="26">
        <v>77.0</v>
      </c>
      <c r="G7" s="26">
        <v>0.0</v>
      </c>
      <c r="H7" s="26">
        <v>300.0</v>
      </c>
      <c r="I7" s="26">
        <v>0.0</v>
      </c>
      <c r="J7" s="26">
        <v>1093.0</v>
      </c>
      <c r="K7" s="26">
        <v>1746.0</v>
      </c>
      <c r="L7" s="26">
        <v>1345.0</v>
      </c>
      <c r="M7" s="26">
        <v>1418.0</v>
      </c>
      <c r="N7" s="26">
        <v>1119.0</v>
      </c>
    </row>
    <row r="8" ht="15.75" customHeight="1">
      <c r="B8" s="22" t="s">
        <v>51</v>
      </c>
      <c r="C8" s="23">
        <v>0.0</v>
      </c>
      <c r="D8" s="23">
        <v>0.0</v>
      </c>
      <c r="E8" s="23">
        <v>0.0</v>
      </c>
      <c r="F8" s="23">
        <v>0.0</v>
      </c>
      <c r="G8" s="23">
        <v>0.0</v>
      </c>
      <c r="H8" s="23">
        <v>0.0</v>
      </c>
      <c r="I8" s="23">
        <v>38.0</v>
      </c>
      <c r="J8" s="26">
        <v>36.0</v>
      </c>
      <c r="K8" s="26">
        <v>42.0</v>
      </c>
      <c r="L8" s="26">
        <v>41.0</v>
      </c>
      <c r="M8" s="26">
        <v>41.0</v>
      </c>
      <c r="N8" s="26">
        <v>32.0</v>
      </c>
    </row>
    <row r="9" ht="15.75" customHeight="1">
      <c r="B9" s="22" t="s">
        <v>52</v>
      </c>
      <c r="C9" s="26">
        <v>555.0</v>
      </c>
      <c r="D9" s="23">
        <v>610.0</v>
      </c>
      <c r="E9" s="23">
        <v>296.0</v>
      </c>
      <c r="F9" s="26">
        <v>478.0</v>
      </c>
      <c r="G9" s="26">
        <v>714.0</v>
      </c>
      <c r="H9" s="26">
        <v>783.0</v>
      </c>
      <c r="I9" s="26">
        <v>1006.0</v>
      </c>
      <c r="J9" s="26">
        <v>0.0</v>
      </c>
      <c r="K9" s="23">
        <v>0.0</v>
      </c>
      <c r="L9" s="23">
        <v>0.0</v>
      </c>
      <c r="M9" s="23">
        <v>0.0</v>
      </c>
      <c r="N9" s="23">
        <v>0.0</v>
      </c>
    </row>
    <row r="10" ht="15.75" customHeight="1">
      <c r="B10" s="25" t="s">
        <v>53</v>
      </c>
      <c r="C10" s="24">
        <v>2969.0</v>
      </c>
      <c r="D10" s="24">
        <v>3318.0</v>
      </c>
      <c r="E10" s="24">
        <v>4650.0</v>
      </c>
      <c r="F10" s="24">
        <v>5064.0</v>
      </c>
      <c r="G10" s="24">
        <v>5193.0</v>
      </c>
      <c r="H10" s="24">
        <v>5772.0</v>
      </c>
      <c r="I10" s="24">
        <v>5352.0</v>
      </c>
      <c r="J10" s="24">
        <v>5327.0</v>
      </c>
      <c r="K10" s="24">
        <v>5730.0</v>
      </c>
      <c r="L10" s="24">
        <v>6538.0</v>
      </c>
      <c r="M10" s="24">
        <v>7409.0</v>
      </c>
      <c r="N10" s="24">
        <v>7815.0</v>
      </c>
    </row>
    <row r="11" ht="15.75" customHeight="1">
      <c r="B11" s="22" t="s">
        <v>54</v>
      </c>
      <c r="C11" s="27">
        <v>633.0</v>
      </c>
      <c r="D11" s="27">
        <v>621.0</v>
      </c>
      <c r="E11" s="27">
        <v>735.0</v>
      </c>
      <c r="F11" s="27">
        <v>733.0</v>
      </c>
      <c r="G11" s="27">
        <v>657.0</v>
      </c>
      <c r="H11" s="27">
        <v>804.0</v>
      </c>
      <c r="I11" s="24">
        <v>1027.0</v>
      </c>
      <c r="J11" s="27">
        <v>971.0</v>
      </c>
      <c r="K11" s="24">
        <v>1108.0</v>
      </c>
      <c r="L11" s="24">
        <v>1081.0</v>
      </c>
      <c r="M11" s="24">
        <v>1090.0</v>
      </c>
      <c r="N11" s="24">
        <v>1370.0</v>
      </c>
    </row>
    <row r="12" ht="15.75" customHeight="1">
      <c r="B12" s="22" t="s">
        <v>55</v>
      </c>
      <c r="C12" s="24">
        <v>58.0</v>
      </c>
      <c r="D12" s="24">
        <v>72.0</v>
      </c>
      <c r="E12" s="24">
        <v>68.0</v>
      </c>
      <c r="F12" s="24">
        <v>63.0</v>
      </c>
      <c r="G12" s="24">
        <v>59.0</v>
      </c>
      <c r="H12" s="24">
        <v>67.0</v>
      </c>
      <c r="I12" s="24">
        <v>82.0</v>
      </c>
      <c r="J12" s="24">
        <v>84.0</v>
      </c>
      <c r="K12" s="24">
        <v>99.0</v>
      </c>
      <c r="L12" s="24">
        <v>94.0</v>
      </c>
      <c r="M12" s="24">
        <v>97.0</v>
      </c>
      <c r="N12" s="28">
        <v>97.0</v>
      </c>
      <c r="P12" s="29"/>
    </row>
    <row r="13" ht="15.75" customHeight="1">
      <c r="B13" s="22" t="s">
        <v>56</v>
      </c>
      <c r="C13" s="24">
        <v>2277.0</v>
      </c>
      <c r="D13" s="24">
        <v>2625.0</v>
      </c>
      <c r="E13" s="24">
        <v>3847.0</v>
      </c>
      <c r="F13" s="24">
        <v>4268.0</v>
      </c>
      <c r="G13" s="24">
        <v>4477.0</v>
      </c>
      <c r="H13" s="24">
        <v>4901.0</v>
      </c>
      <c r="I13" s="24">
        <v>4243.0</v>
      </c>
      <c r="J13" s="24">
        <v>4271.0</v>
      </c>
      <c r="K13" s="24">
        <v>4523.0</v>
      </c>
      <c r="L13" s="24">
        <v>5363.0</v>
      </c>
      <c r="M13" s="24">
        <v>6221.0</v>
      </c>
      <c r="N13" s="24">
        <v>6445.0</v>
      </c>
    </row>
    <row r="14" ht="15.75" customHeight="1">
      <c r="B14" s="22" t="s">
        <v>57</v>
      </c>
      <c r="C14" s="26">
        <v>15294.0</v>
      </c>
      <c r="D14" s="26">
        <v>15856.0</v>
      </c>
      <c r="E14" s="26">
        <v>19501.0</v>
      </c>
      <c r="F14" s="26">
        <v>20615.0</v>
      </c>
      <c r="G14" s="26">
        <v>22102.0</v>
      </c>
      <c r="H14" s="26">
        <v>23825.0</v>
      </c>
      <c r="I14" s="26">
        <v>22880.0</v>
      </c>
      <c r="J14" s="26">
        <v>22778.0</v>
      </c>
      <c r="K14" s="26">
        <v>23605.0</v>
      </c>
      <c r="L14" s="26">
        <v>25988.0</v>
      </c>
      <c r="M14" s="26">
        <v>29191.0</v>
      </c>
      <c r="N14" s="26">
        <v>31659.0</v>
      </c>
    </row>
    <row r="15" ht="15.75" customHeight="1">
      <c r="B15" s="25" t="s">
        <v>58</v>
      </c>
      <c r="C15" s="24">
        <v>9298.0</v>
      </c>
      <c r="D15" s="24">
        <v>9100.0</v>
      </c>
      <c r="E15" s="24">
        <v>14907.0</v>
      </c>
      <c r="F15" s="24">
        <v>16599.0</v>
      </c>
      <c r="G15" s="24">
        <v>16806.0</v>
      </c>
      <c r="H15" s="24">
        <v>17012.0</v>
      </c>
      <c r="I15" s="24">
        <v>15791.0</v>
      </c>
      <c r="J15" s="24">
        <v>15582.0</v>
      </c>
      <c r="K15" s="24">
        <v>14307.0</v>
      </c>
      <c r="L15" s="24">
        <v>14766.0</v>
      </c>
      <c r="M15" s="24">
        <v>16143.0</v>
      </c>
      <c r="N15" s="24">
        <v>15692.0</v>
      </c>
    </row>
    <row r="16" ht="15.75" customHeight="1">
      <c r="B16" s="22" t="s">
        <v>59</v>
      </c>
      <c r="C16" s="24">
        <v>280.7</v>
      </c>
      <c r="D16" s="24">
        <v>280.78</v>
      </c>
      <c r="E16" s="24">
        <v>358.3</v>
      </c>
      <c r="F16" s="24">
        <v>368.95</v>
      </c>
      <c r="G16" s="24">
        <v>380.99</v>
      </c>
      <c r="H16" s="24">
        <v>403.1</v>
      </c>
      <c r="I16" s="24">
        <v>593.1</v>
      </c>
      <c r="J16" s="24">
        <v>594.56</v>
      </c>
      <c r="K16" s="24">
        <v>578.15</v>
      </c>
      <c r="L16" s="24">
        <v>657.61</v>
      </c>
      <c r="M16" s="24">
        <v>853.51</v>
      </c>
      <c r="N16" s="28">
        <v>853.51</v>
      </c>
      <c r="P16" s="29"/>
    </row>
    <row r="17" ht="15.75" customHeight="1">
      <c r="B17" s="22" t="s">
        <v>60</v>
      </c>
      <c r="C17" s="24">
        <v>1183.16</v>
      </c>
      <c r="D17" s="24">
        <v>1203.6</v>
      </c>
      <c r="E17" s="24">
        <v>1904.39</v>
      </c>
      <c r="F17" s="24">
        <v>1357.56</v>
      </c>
      <c r="G17" s="24">
        <v>1426.22</v>
      </c>
      <c r="H17" s="24">
        <v>1505.68</v>
      </c>
      <c r="I17" s="24">
        <v>1573.67</v>
      </c>
      <c r="J17" s="24">
        <v>1696.38</v>
      </c>
      <c r="K17" s="24">
        <v>1816.19</v>
      </c>
      <c r="L17" s="24">
        <v>2077.27</v>
      </c>
      <c r="M17" s="24">
        <v>2359.24</v>
      </c>
      <c r="N17" s="28">
        <v>2359.24</v>
      </c>
      <c r="P17" s="29"/>
    </row>
    <row r="18" ht="15.75" customHeight="1">
      <c r="B18" s="22" t="s">
        <v>61</v>
      </c>
      <c r="C18" s="24">
        <v>7420.65</v>
      </c>
      <c r="D18" s="24">
        <v>7506.93</v>
      </c>
      <c r="E18" s="24">
        <v>10477.89</v>
      </c>
      <c r="F18" s="24">
        <v>16579.9</v>
      </c>
      <c r="G18" s="24">
        <v>17776.99</v>
      </c>
      <c r="H18" s="24">
        <v>18981.05</v>
      </c>
      <c r="I18" s="24">
        <v>19682.25</v>
      </c>
      <c r="J18" s="24">
        <v>20429.55</v>
      </c>
      <c r="K18" s="24">
        <v>21490.39</v>
      </c>
      <c r="L18" s="24">
        <v>22581.53</v>
      </c>
      <c r="M18" s="24">
        <v>24506.82</v>
      </c>
      <c r="N18" s="28">
        <v>24506.82</v>
      </c>
      <c r="P18" s="29"/>
    </row>
    <row r="19" ht="15.75" customHeight="1">
      <c r="B19" s="22" t="s">
        <v>62</v>
      </c>
      <c r="C19" s="24">
        <v>3056.34</v>
      </c>
      <c r="D19" s="24">
        <v>3283.85</v>
      </c>
      <c r="E19" s="24">
        <v>2962.49</v>
      </c>
      <c r="F19" s="27">
        <v>71.79</v>
      </c>
      <c r="G19" s="27">
        <v>84.68</v>
      </c>
      <c r="H19" s="27">
        <v>121.06</v>
      </c>
      <c r="I19" s="27">
        <v>142.5</v>
      </c>
      <c r="J19" s="27">
        <v>163.98</v>
      </c>
      <c r="K19" s="27">
        <v>188.55</v>
      </c>
      <c r="L19" s="27">
        <v>210.23</v>
      </c>
      <c r="M19" s="27">
        <v>236.09</v>
      </c>
      <c r="N19" s="30">
        <v>236.09</v>
      </c>
      <c r="P19" s="29"/>
    </row>
    <row r="20" ht="15.75" customHeight="1">
      <c r="B20" s="22" t="s">
        <v>63</v>
      </c>
      <c r="C20" s="27">
        <v>90.76</v>
      </c>
      <c r="D20" s="27">
        <v>91.79</v>
      </c>
      <c r="E20" s="27">
        <v>73.86</v>
      </c>
      <c r="F20" s="27">
        <v>71.49</v>
      </c>
      <c r="G20" s="27">
        <v>79.25</v>
      </c>
      <c r="H20" s="27">
        <v>85.37</v>
      </c>
      <c r="I20" s="27">
        <v>91.85</v>
      </c>
      <c r="J20" s="27">
        <v>107.61</v>
      </c>
      <c r="K20" s="27">
        <v>118.21</v>
      </c>
      <c r="L20" s="27">
        <v>143.68</v>
      </c>
      <c r="M20" s="27">
        <v>172.19</v>
      </c>
      <c r="N20" s="30">
        <v>172.19</v>
      </c>
      <c r="P20" s="29"/>
    </row>
    <row r="21" ht="15.75" customHeight="1">
      <c r="B21" s="22" t="s">
        <v>64</v>
      </c>
      <c r="C21" s="27">
        <v>2.46</v>
      </c>
      <c r="D21" s="27">
        <v>2.46</v>
      </c>
      <c r="E21" s="27">
        <v>1.86</v>
      </c>
      <c r="F21" s="27">
        <v>1.86</v>
      </c>
      <c r="G21" s="27">
        <v>1.86</v>
      </c>
      <c r="H21" s="27">
        <v>1.86</v>
      </c>
      <c r="I21" s="27">
        <v>1.86</v>
      </c>
      <c r="J21" s="27">
        <v>1.86</v>
      </c>
      <c r="K21" s="27">
        <v>1.86</v>
      </c>
      <c r="L21" s="27">
        <v>1.86</v>
      </c>
      <c r="M21" s="27">
        <v>1.86</v>
      </c>
      <c r="N21" s="30">
        <v>1.86</v>
      </c>
      <c r="P21" s="29"/>
    </row>
    <row r="22" ht="15.75" customHeight="1">
      <c r="B22" s="22" t="s">
        <v>65</v>
      </c>
      <c r="C22" s="27">
        <v>20.18</v>
      </c>
      <c r="D22" s="27">
        <v>19.26</v>
      </c>
      <c r="E22" s="27">
        <v>16.95</v>
      </c>
      <c r="F22" s="27">
        <v>19.33</v>
      </c>
      <c r="G22" s="27">
        <v>22.3</v>
      </c>
      <c r="H22" s="27">
        <v>23.42</v>
      </c>
      <c r="I22" s="27">
        <v>27.28</v>
      </c>
      <c r="J22" s="27">
        <v>28.14</v>
      </c>
      <c r="K22" s="27">
        <v>30.01</v>
      </c>
      <c r="L22" s="27">
        <v>33.98</v>
      </c>
      <c r="M22" s="27">
        <v>39.36</v>
      </c>
      <c r="N22" s="30">
        <v>39.36</v>
      </c>
      <c r="P22" s="29"/>
    </row>
    <row r="23" ht="15.75" customHeight="1">
      <c r="B23" s="22" t="s">
        <v>66</v>
      </c>
      <c r="C23" s="27">
        <v>0.0</v>
      </c>
      <c r="D23" s="27">
        <v>0.0</v>
      </c>
      <c r="E23" s="27">
        <v>0.0</v>
      </c>
      <c r="F23" s="27">
        <v>0.0</v>
      </c>
      <c r="G23" s="27">
        <v>0.0</v>
      </c>
      <c r="H23" s="27">
        <v>0.0</v>
      </c>
      <c r="I23" s="27">
        <v>0.0</v>
      </c>
      <c r="J23" s="24">
        <v>0.0</v>
      </c>
      <c r="K23" s="24">
        <v>0.0</v>
      </c>
      <c r="L23" s="24">
        <v>0.0</v>
      </c>
      <c r="M23" s="24">
        <v>0.0</v>
      </c>
      <c r="N23" s="24">
        <v>9.28</v>
      </c>
    </row>
    <row r="24" ht="15.75" customHeight="1">
      <c r="B24" s="22" t="s">
        <v>67</v>
      </c>
      <c r="C24" s="24">
        <v>46.29</v>
      </c>
      <c r="D24" s="24">
        <v>47.43</v>
      </c>
      <c r="E24" s="24">
        <v>11.87</v>
      </c>
      <c r="F24" s="24">
        <v>17.79</v>
      </c>
      <c r="G24" s="24">
        <v>26.53</v>
      </c>
      <c r="H24" s="24">
        <v>36.96</v>
      </c>
      <c r="I24" s="24">
        <v>42.31</v>
      </c>
      <c r="J24" s="24">
        <v>56.06</v>
      </c>
      <c r="K24" s="24">
        <v>79.45</v>
      </c>
      <c r="L24" s="24">
        <v>77.59</v>
      </c>
      <c r="M24" s="24">
        <v>67.35</v>
      </c>
      <c r="N24" s="28">
        <v>67.35</v>
      </c>
      <c r="P24" s="29"/>
    </row>
    <row r="25" ht="15.75" customHeight="1">
      <c r="B25" s="22" t="s">
        <v>68</v>
      </c>
      <c r="C25" s="24">
        <v>12100.54</v>
      </c>
      <c r="D25" s="24">
        <v>12436.1</v>
      </c>
      <c r="E25" s="24">
        <v>15807.61</v>
      </c>
      <c r="F25" s="24">
        <v>18488.67</v>
      </c>
      <c r="G25" s="24">
        <v>19798.82</v>
      </c>
      <c r="H25" s="24">
        <v>21158.5</v>
      </c>
      <c r="I25" s="24">
        <v>22154.82</v>
      </c>
      <c r="J25" s="24">
        <v>23078.14</v>
      </c>
      <c r="K25" s="24">
        <v>24302.81</v>
      </c>
      <c r="L25" s="24">
        <v>25783.75</v>
      </c>
      <c r="M25" s="24">
        <v>28236.42</v>
      </c>
      <c r="N25" s="28">
        <v>28236.42</v>
      </c>
      <c r="P25" s="29"/>
    </row>
    <row r="26" ht="15.75" customHeight="1">
      <c r="B26" s="22" t="s">
        <v>69</v>
      </c>
      <c r="C26" s="24">
        <v>2802.63</v>
      </c>
      <c r="D26" s="24">
        <v>3335.6</v>
      </c>
      <c r="E26" s="27">
        <v>900.12</v>
      </c>
      <c r="F26" s="24">
        <v>1889.67</v>
      </c>
      <c r="G26" s="24">
        <v>2993.03</v>
      </c>
      <c r="H26" s="24">
        <v>4146.06</v>
      </c>
      <c r="I26" s="24">
        <v>6363.97</v>
      </c>
      <c r="J26" s="24">
        <v>7496.25</v>
      </c>
      <c r="K26" s="24">
        <v>9995.62</v>
      </c>
      <c r="L26" s="24">
        <v>11017.85</v>
      </c>
      <c r="M26" s="24">
        <v>12093.27</v>
      </c>
      <c r="N26" s="28">
        <v>12093.27</v>
      </c>
      <c r="P26" s="29"/>
    </row>
    <row r="27" ht="15.75" customHeight="1">
      <c r="B27" s="22" t="s">
        <v>70</v>
      </c>
      <c r="C27" s="26">
        <v>118.0</v>
      </c>
      <c r="D27" s="26">
        <v>166.0</v>
      </c>
      <c r="E27" s="26">
        <v>204.0</v>
      </c>
      <c r="F27" s="26">
        <v>323.0</v>
      </c>
      <c r="G27" s="26">
        <v>393.0</v>
      </c>
      <c r="H27" s="26">
        <v>359.0</v>
      </c>
      <c r="I27" s="26">
        <v>568.0</v>
      </c>
      <c r="J27" s="26">
        <v>838.0</v>
      </c>
      <c r="K27" s="26">
        <v>1186.0</v>
      </c>
      <c r="L27" s="26">
        <v>1609.0</v>
      </c>
      <c r="M27" s="26">
        <v>816.0</v>
      </c>
      <c r="N27" s="26">
        <v>756.0</v>
      </c>
    </row>
    <row r="28" ht="15.75" customHeight="1">
      <c r="B28" s="22" t="s">
        <v>71</v>
      </c>
      <c r="C28" s="24">
        <v>2612.0</v>
      </c>
      <c r="D28" s="24">
        <v>2658.0</v>
      </c>
      <c r="E28" s="24">
        <v>695.0</v>
      </c>
      <c r="F28" s="24">
        <v>754.0</v>
      </c>
      <c r="G28" s="24">
        <v>989.0</v>
      </c>
      <c r="H28" s="24">
        <v>1162.0</v>
      </c>
      <c r="I28" s="24">
        <v>1021.0</v>
      </c>
      <c r="J28" s="24">
        <v>781.0</v>
      </c>
      <c r="K28" s="24">
        <v>1414.0</v>
      </c>
      <c r="L28" s="24">
        <v>2494.0</v>
      </c>
      <c r="M28" s="24">
        <v>2742.0</v>
      </c>
      <c r="N28" s="24">
        <v>2416.0</v>
      </c>
    </row>
    <row r="29" ht="15.75" customHeight="1">
      <c r="B29" s="25" t="s">
        <v>72</v>
      </c>
      <c r="C29" s="26">
        <v>3266.0</v>
      </c>
      <c r="D29" s="26">
        <v>3932.0</v>
      </c>
      <c r="E29" s="26">
        <v>3694.0</v>
      </c>
      <c r="F29" s="26">
        <v>2939.0</v>
      </c>
      <c r="G29" s="26">
        <v>3915.0</v>
      </c>
      <c r="H29" s="26">
        <v>5291.0</v>
      </c>
      <c r="I29" s="26">
        <v>5500.0</v>
      </c>
      <c r="J29" s="26">
        <v>5578.0</v>
      </c>
      <c r="K29" s="26">
        <v>6697.0</v>
      </c>
      <c r="L29" s="26">
        <v>7119.0</v>
      </c>
      <c r="M29" s="26">
        <v>9490.0</v>
      </c>
      <c r="N29" s="26">
        <v>12795.0</v>
      </c>
    </row>
    <row r="30" ht="15.75" customHeight="1">
      <c r="B30" s="22" t="s">
        <v>73</v>
      </c>
      <c r="C30" s="26">
        <v>283.0</v>
      </c>
      <c r="D30" s="26">
        <v>253.0</v>
      </c>
      <c r="E30" s="26">
        <v>420.0</v>
      </c>
      <c r="F30" s="26">
        <v>369.0</v>
      </c>
      <c r="G30" s="23">
        <v>454.0</v>
      </c>
      <c r="H30" s="26">
        <v>627.0</v>
      </c>
      <c r="I30" s="26">
        <v>598.0</v>
      </c>
      <c r="J30" s="26">
        <v>386.0</v>
      </c>
      <c r="K30" s="26">
        <v>438.0</v>
      </c>
      <c r="L30" s="26">
        <v>646.0</v>
      </c>
      <c r="M30" s="26">
        <v>646.0</v>
      </c>
      <c r="N30" s="26">
        <v>609.0</v>
      </c>
    </row>
    <row r="31" ht="15.75" customHeight="1">
      <c r="B31" s="22" t="s">
        <v>74</v>
      </c>
      <c r="C31" s="23">
        <v>784.0</v>
      </c>
      <c r="D31" s="23">
        <v>874.0</v>
      </c>
      <c r="E31" s="26">
        <v>1049.0</v>
      </c>
      <c r="F31" s="23">
        <v>969.0</v>
      </c>
      <c r="G31" s="26">
        <v>1124.0</v>
      </c>
      <c r="H31" s="26">
        <v>1171.0</v>
      </c>
      <c r="I31" s="26">
        <v>1181.0</v>
      </c>
      <c r="J31" s="26">
        <v>1276.0</v>
      </c>
      <c r="K31" s="26">
        <v>1364.0</v>
      </c>
      <c r="L31" s="26">
        <v>1516.0</v>
      </c>
      <c r="M31" s="26">
        <v>1566.0</v>
      </c>
      <c r="N31" s="26">
        <v>1691.0</v>
      </c>
    </row>
    <row r="32" ht="15.75" customHeight="1">
      <c r="B32" s="22" t="s">
        <v>75</v>
      </c>
      <c r="C32" s="26">
        <v>1527.0</v>
      </c>
      <c r="D32" s="26">
        <v>1580.0</v>
      </c>
      <c r="E32" s="23">
        <v>778.0</v>
      </c>
      <c r="F32" s="23">
        <v>269.0</v>
      </c>
      <c r="G32" s="23">
        <v>270.0</v>
      </c>
      <c r="H32" s="23">
        <v>326.0</v>
      </c>
      <c r="I32" s="23">
        <v>224.0</v>
      </c>
      <c r="J32" s="26">
        <v>189.0</v>
      </c>
      <c r="K32" s="26">
        <v>207.0</v>
      </c>
      <c r="L32" s="23">
        <v>282.0</v>
      </c>
      <c r="M32" s="23">
        <v>311.0</v>
      </c>
      <c r="N32" s="23">
        <v>297.0</v>
      </c>
    </row>
    <row r="33" ht="15.75" customHeight="1">
      <c r="B33" s="22" t="s">
        <v>76</v>
      </c>
      <c r="C33" s="26">
        <v>70.0</v>
      </c>
      <c r="D33" s="26">
        <v>611.0</v>
      </c>
      <c r="E33" s="26">
        <v>215.0</v>
      </c>
      <c r="F33" s="26">
        <v>103.0</v>
      </c>
      <c r="G33" s="26">
        <v>685.0</v>
      </c>
      <c r="H33" s="26">
        <v>255.0</v>
      </c>
      <c r="I33" s="26">
        <v>181.0</v>
      </c>
      <c r="J33" s="26">
        <v>181.0</v>
      </c>
      <c r="K33" s="26">
        <v>1146.0</v>
      </c>
      <c r="L33" s="26">
        <v>219.0</v>
      </c>
      <c r="M33" s="26">
        <v>408.0</v>
      </c>
      <c r="N33" s="26">
        <v>5783.0</v>
      </c>
    </row>
    <row r="34" ht="15.75" customHeight="1">
      <c r="B34" s="22" t="s">
        <v>77</v>
      </c>
      <c r="C34" s="26">
        <v>603.0</v>
      </c>
      <c r="D34" s="23">
        <v>613.0</v>
      </c>
      <c r="E34" s="26">
        <v>1232.0</v>
      </c>
      <c r="F34" s="26">
        <v>1230.0</v>
      </c>
      <c r="G34" s="26">
        <v>1382.0</v>
      </c>
      <c r="H34" s="26">
        <v>2913.0</v>
      </c>
      <c r="I34" s="26">
        <v>3316.0</v>
      </c>
      <c r="J34" s="26">
        <v>3546.0</v>
      </c>
      <c r="K34" s="26">
        <v>3542.0</v>
      </c>
      <c r="L34" s="26">
        <v>4457.0</v>
      </c>
      <c r="M34" s="26">
        <v>6559.0</v>
      </c>
      <c r="N34" s="26">
        <v>4415.0</v>
      </c>
    </row>
    <row r="35" ht="15.75" customHeight="1">
      <c r="B35" s="31" t="s">
        <v>78</v>
      </c>
      <c r="C35" s="32">
        <v>804.0</v>
      </c>
      <c r="D35" s="33">
        <f t="shared" ref="D35:N35" si="1">(D31+C31)/2</f>
        <v>829</v>
      </c>
      <c r="E35" s="33">
        <f t="shared" si="1"/>
        <v>961.5</v>
      </c>
      <c r="F35" s="33">
        <f t="shared" si="1"/>
        <v>1009</v>
      </c>
      <c r="G35" s="33">
        <f t="shared" si="1"/>
        <v>1046.5</v>
      </c>
      <c r="H35" s="33">
        <f t="shared" si="1"/>
        <v>1147.5</v>
      </c>
      <c r="I35" s="33">
        <f t="shared" si="1"/>
        <v>1176</v>
      </c>
      <c r="J35" s="33">
        <f t="shared" si="1"/>
        <v>1228.5</v>
      </c>
      <c r="K35" s="33">
        <f t="shared" si="1"/>
        <v>1320</v>
      </c>
      <c r="L35" s="33">
        <f t="shared" si="1"/>
        <v>1440</v>
      </c>
      <c r="M35" s="33">
        <f t="shared" si="1"/>
        <v>1541</v>
      </c>
      <c r="N35" s="33">
        <f t="shared" si="1"/>
        <v>1628.5</v>
      </c>
    </row>
    <row r="36" ht="15.75" customHeight="1">
      <c r="B36" s="22" t="s">
        <v>79</v>
      </c>
      <c r="C36" s="24">
        <v>15294.0</v>
      </c>
      <c r="D36" s="24">
        <v>15856.0</v>
      </c>
      <c r="E36" s="24">
        <v>19501.0</v>
      </c>
      <c r="F36" s="24">
        <v>20615.0</v>
      </c>
      <c r="G36" s="24">
        <v>22102.0</v>
      </c>
      <c r="H36" s="24">
        <v>23825.0</v>
      </c>
      <c r="I36" s="24">
        <v>22880.0</v>
      </c>
      <c r="J36" s="24">
        <v>22778.0</v>
      </c>
      <c r="K36" s="24">
        <v>23605.0</v>
      </c>
      <c r="L36" s="24">
        <v>25988.0</v>
      </c>
      <c r="M36" s="24">
        <v>29191.0</v>
      </c>
      <c r="N36" s="24">
        <v>31659.0</v>
      </c>
    </row>
    <row r="37" ht="15.75" customHeight="1">
      <c r="B37" s="34" t="s">
        <v>80</v>
      </c>
      <c r="C37" s="35">
        <v>19126.0</v>
      </c>
      <c r="D37" s="36">
        <f t="shared" ref="D37:N37" si="2">(D36+C36)/2</f>
        <v>15575</v>
      </c>
      <c r="E37" s="36">
        <f t="shared" si="2"/>
        <v>17678.5</v>
      </c>
      <c r="F37" s="36">
        <f t="shared" si="2"/>
        <v>20058</v>
      </c>
      <c r="G37" s="36">
        <f t="shared" si="2"/>
        <v>21358.5</v>
      </c>
      <c r="H37" s="36">
        <f t="shared" si="2"/>
        <v>22963.5</v>
      </c>
      <c r="I37" s="36">
        <f t="shared" si="2"/>
        <v>23352.5</v>
      </c>
      <c r="J37" s="36">
        <f t="shared" si="2"/>
        <v>22829</v>
      </c>
      <c r="K37" s="36">
        <f t="shared" si="2"/>
        <v>23191.5</v>
      </c>
      <c r="L37" s="36">
        <f t="shared" si="2"/>
        <v>24796.5</v>
      </c>
      <c r="M37" s="36">
        <f t="shared" si="2"/>
        <v>27589.5</v>
      </c>
      <c r="N37" s="36">
        <f t="shared" si="2"/>
        <v>30425</v>
      </c>
    </row>
    <row r="38" ht="15.75" customHeight="1">
      <c r="B38" s="37" t="s">
        <v>81</v>
      </c>
      <c r="C38" s="35">
        <f>C30</f>
        <v>283</v>
      </c>
      <c r="D38" s="38">
        <f t="shared" ref="D38:N38" si="3">(D30+C30)/2</f>
        <v>268</v>
      </c>
      <c r="E38" s="38">
        <f t="shared" si="3"/>
        <v>336.5</v>
      </c>
      <c r="F38" s="38">
        <f t="shared" si="3"/>
        <v>394.5</v>
      </c>
      <c r="G38" s="38">
        <f t="shared" si="3"/>
        <v>411.5</v>
      </c>
      <c r="H38" s="38">
        <f t="shared" si="3"/>
        <v>540.5</v>
      </c>
      <c r="I38" s="38">
        <f t="shared" si="3"/>
        <v>612.5</v>
      </c>
      <c r="J38" s="38">
        <f t="shared" si="3"/>
        <v>492</v>
      </c>
      <c r="K38" s="38">
        <f t="shared" si="3"/>
        <v>412</v>
      </c>
      <c r="L38" s="38">
        <f t="shared" si="3"/>
        <v>542</v>
      </c>
      <c r="M38" s="38">
        <f t="shared" si="3"/>
        <v>646</v>
      </c>
      <c r="N38" s="38">
        <f t="shared" si="3"/>
        <v>627.5</v>
      </c>
    </row>
    <row r="39" ht="15.75" customHeight="1"/>
    <row r="40" ht="15.75" customHeight="1">
      <c r="B40" s="39" t="s">
        <v>82</v>
      </c>
      <c r="C40" s="2"/>
      <c r="D40" s="2"/>
      <c r="E40" s="2"/>
      <c r="F40" s="2"/>
      <c r="G40" s="2"/>
      <c r="H40" s="2"/>
      <c r="I40" s="2"/>
      <c r="J40" s="2"/>
      <c r="K40" s="3"/>
    </row>
    <row r="41" ht="15.75" customHeight="1"/>
    <row r="42" ht="15.75" customHeight="1"/>
    <row r="43" ht="15.75" customHeight="1">
      <c r="C43" s="40"/>
    </row>
    <row r="44" ht="15.75" customHeight="1"/>
    <row r="45" ht="15.75" customHeight="1"/>
    <row r="46" ht="15.75" customHeight="1">
      <c r="D46" s="40"/>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40:K40"/>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2"/>
    <col customWidth="1" min="2" max="2" width="25.33"/>
    <col customWidth="1" min="3" max="14" width="14.78"/>
    <col customWidth="1" min="15" max="15" width="10.56"/>
  </cols>
  <sheetData>
    <row r="1" ht="15.75" customHeight="1"/>
    <row r="2" ht="15.75" customHeight="1">
      <c r="B2" s="41" t="s">
        <v>33</v>
      </c>
      <c r="C2" s="21" t="s">
        <v>34</v>
      </c>
      <c r="D2" s="21" t="s">
        <v>35</v>
      </c>
      <c r="E2" s="21" t="s">
        <v>36</v>
      </c>
      <c r="F2" s="21" t="s">
        <v>37</v>
      </c>
      <c r="G2" s="21" t="s">
        <v>38</v>
      </c>
      <c r="H2" s="21" t="s">
        <v>39</v>
      </c>
      <c r="I2" s="21" t="s">
        <v>40</v>
      </c>
      <c r="J2" s="21" t="s">
        <v>41</v>
      </c>
      <c r="K2" s="21" t="s">
        <v>42</v>
      </c>
      <c r="L2" s="21" t="s">
        <v>43</v>
      </c>
      <c r="M2" s="21" t="s">
        <v>44</v>
      </c>
      <c r="N2" s="21" t="s">
        <v>45</v>
      </c>
    </row>
    <row r="3" ht="15.75" customHeight="1">
      <c r="B3" s="42" t="s">
        <v>83</v>
      </c>
      <c r="C3" s="43">
        <v>8536.0</v>
      </c>
      <c r="D3" s="43">
        <v>10200.0</v>
      </c>
      <c r="E3" s="43">
        <v>11626.0</v>
      </c>
      <c r="F3" s="43">
        <v>9921.0</v>
      </c>
      <c r="G3" s="43">
        <v>11449.0</v>
      </c>
      <c r="H3" s="43">
        <v>12978.0</v>
      </c>
      <c r="I3" s="43">
        <v>13442.0</v>
      </c>
      <c r="J3" s="43">
        <v>11777.0</v>
      </c>
      <c r="K3" s="43">
        <v>13716.0</v>
      </c>
      <c r="L3" s="43">
        <v>18836.0</v>
      </c>
      <c r="M3" s="43">
        <v>19957.0</v>
      </c>
      <c r="N3" s="43">
        <v>21913.0</v>
      </c>
    </row>
    <row r="4" ht="15.75" customHeight="1">
      <c r="B4" s="44" t="s">
        <v>84</v>
      </c>
      <c r="C4" s="45">
        <v>0.0551</v>
      </c>
      <c r="D4" s="45">
        <v>0.195</v>
      </c>
      <c r="E4" s="45">
        <v>0.1398</v>
      </c>
      <c r="F4" s="45">
        <v>-0.1467</v>
      </c>
      <c r="G4" s="45">
        <v>0.154</v>
      </c>
      <c r="H4" s="45">
        <v>0.1335</v>
      </c>
      <c r="I4" s="45">
        <v>0.0358</v>
      </c>
      <c r="J4" s="45">
        <v>-0.1239</v>
      </c>
      <c r="K4" s="45">
        <v>0.1647</v>
      </c>
      <c r="L4" s="45">
        <v>0.3733</v>
      </c>
      <c r="M4" s="45">
        <v>0.0595</v>
      </c>
      <c r="N4" s="45">
        <v>0.098</v>
      </c>
    </row>
    <row r="5" ht="15.75" customHeight="1">
      <c r="B5" s="42" t="s">
        <v>85</v>
      </c>
      <c r="C5" s="46">
        <v>7302.0</v>
      </c>
      <c r="D5" s="46">
        <v>8143.0</v>
      </c>
      <c r="E5" s="46">
        <v>8675.0</v>
      </c>
      <c r="F5" s="46">
        <v>7481.0</v>
      </c>
      <c r="G5" s="46">
        <v>8368.0</v>
      </c>
      <c r="H5" s="46">
        <v>9918.0</v>
      </c>
      <c r="I5" s="46">
        <v>10003.0</v>
      </c>
      <c r="J5" s="46">
        <v>8533.0</v>
      </c>
      <c r="K5" s="46">
        <v>10356.0</v>
      </c>
      <c r="L5" s="46">
        <v>14582.0</v>
      </c>
      <c r="M5" s="46">
        <v>16070.0</v>
      </c>
      <c r="N5" s="46">
        <v>17555.0</v>
      </c>
    </row>
    <row r="6" ht="15.75" customHeight="1">
      <c r="B6" s="44" t="s">
        <v>86</v>
      </c>
      <c r="C6" s="47">
        <v>0.8</v>
      </c>
      <c r="D6" s="47">
        <v>0.75</v>
      </c>
      <c r="E6" s="47">
        <v>0.69</v>
      </c>
      <c r="F6" s="47">
        <v>0.7</v>
      </c>
      <c r="G6" s="47">
        <v>0.67</v>
      </c>
      <c r="H6" s="47">
        <v>0.71</v>
      </c>
      <c r="I6" s="47">
        <v>0.67</v>
      </c>
      <c r="J6" s="47">
        <v>0.65</v>
      </c>
      <c r="K6" s="47">
        <v>0.7</v>
      </c>
      <c r="L6" s="47">
        <v>0.73</v>
      </c>
      <c r="M6" s="47">
        <v>0.76</v>
      </c>
      <c r="N6" s="47">
        <v>0.66</v>
      </c>
    </row>
    <row r="7" ht="15.75" customHeight="1">
      <c r="B7" s="44" t="s">
        <v>87</v>
      </c>
      <c r="C7" s="47">
        <v>0.04</v>
      </c>
      <c r="D7" s="47">
        <v>0.04</v>
      </c>
      <c r="E7" s="47">
        <v>0.04</v>
      </c>
      <c r="F7" s="47">
        <v>0.06</v>
      </c>
      <c r="G7" s="47">
        <v>0.06</v>
      </c>
      <c r="H7" s="47">
        <v>0.05</v>
      </c>
      <c r="I7" s="47">
        <v>0.05</v>
      </c>
      <c r="J7" s="47">
        <v>0.06</v>
      </c>
      <c r="K7" s="47">
        <v>0.05</v>
      </c>
      <c r="L7" s="47">
        <v>0.04</v>
      </c>
      <c r="M7" s="47">
        <v>0.04</v>
      </c>
      <c r="N7" s="47">
        <v>0.03</v>
      </c>
    </row>
    <row r="8" ht="15.75" customHeight="1">
      <c r="B8" s="44" t="s">
        <v>88</v>
      </c>
      <c r="C8" s="47">
        <v>0.01</v>
      </c>
      <c r="D8" s="47">
        <v>0.01</v>
      </c>
      <c r="E8" s="47">
        <v>0.01</v>
      </c>
      <c r="F8" s="47">
        <v>0.0</v>
      </c>
      <c r="G8" s="47">
        <v>0.0</v>
      </c>
      <c r="H8" s="47">
        <v>0.0</v>
      </c>
      <c r="I8" s="47">
        <v>0.02</v>
      </c>
      <c r="J8" s="47">
        <v>0.02</v>
      </c>
      <c r="K8" s="47">
        <v>0.01</v>
      </c>
      <c r="L8" s="47">
        <v>0.01</v>
      </c>
      <c r="M8" s="47">
        <v>0.01</v>
      </c>
      <c r="N8" s="47">
        <v>0.06</v>
      </c>
    </row>
    <row r="9" ht="15.75" customHeight="1">
      <c r="B9" s="44" t="s">
        <v>89</v>
      </c>
      <c r="C9" s="43">
        <v>1234.0</v>
      </c>
      <c r="D9" s="43">
        <v>2057.0</v>
      </c>
      <c r="E9" s="43">
        <v>2951.0</v>
      </c>
      <c r="F9" s="43">
        <v>2440.0</v>
      </c>
      <c r="G9" s="43">
        <v>3080.0</v>
      </c>
      <c r="H9" s="43">
        <v>3060.0</v>
      </c>
      <c r="I9" s="43">
        <v>3439.0</v>
      </c>
      <c r="J9" s="43">
        <v>3244.0</v>
      </c>
      <c r="K9" s="43">
        <v>3359.0</v>
      </c>
      <c r="L9" s="43">
        <v>4254.0</v>
      </c>
      <c r="M9" s="43">
        <v>3887.0</v>
      </c>
      <c r="N9" s="43">
        <v>4357.0</v>
      </c>
    </row>
    <row r="10" ht="15.75" customHeight="1">
      <c r="B10" s="44" t="s">
        <v>90</v>
      </c>
      <c r="C10" s="47">
        <v>0.14</v>
      </c>
      <c r="D10" s="47">
        <v>0.2</v>
      </c>
      <c r="E10" s="47">
        <v>0.25</v>
      </c>
      <c r="F10" s="47">
        <v>0.25</v>
      </c>
      <c r="G10" s="47">
        <v>0.27</v>
      </c>
      <c r="H10" s="47">
        <v>0.24</v>
      </c>
      <c r="I10" s="47">
        <v>0.26</v>
      </c>
      <c r="J10" s="47">
        <v>0.28</v>
      </c>
      <c r="K10" s="47">
        <v>0.24</v>
      </c>
      <c r="L10" s="47">
        <v>0.23</v>
      </c>
      <c r="M10" s="47">
        <v>0.19</v>
      </c>
      <c r="N10" s="47">
        <v>0.2</v>
      </c>
    </row>
    <row r="11" ht="15.75" customHeight="1">
      <c r="B11" s="42" t="s">
        <v>91</v>
      </c>
      <c r="C11" s="48">
        <v>224.0</v>
      </c>
      <c r="D11" s="43">
        <v>306.0</v>
      </c>
      <c r="E11" s="43">
        <v>337.0</v>
      </c>
      <c r="F11" s="43">
        <v>180.0</v>
      </c>
      <c r="G11" s="43">
        <v>246.0</v>
      </c>
      <c r="H11" s="43">
        <v>244.0</v>
      </c>
      <c r="I11" s="43">
        <v>-771.0</v>
      </c>
      <c r="J11" s="43">
        <v>238.0</v>
      </c>
      <c r="K11" s="43">
        <v>-1030.0</v>
      </c>
      <c r="L11" s="43">
        <v>405.0</v>
      </c>
      <c r="M11" s="43">
        <v>464.0</v>
      </c>
      <c r="N11" s="43">
        <v>687.0</v>
      </c>
    </row>
    <row r="12" ht="15.75" customHeight="1">
      <c r="B12" s="44" t="s">
        <v>92</v>
      </c>
      <c r="C12" s="48">
        <v>30.0</v>
      </c>
      <c r="D12" s="48">
        <v>9.0</v>
      </c>
      <c r="E12" s="48">
        <v>54.0</v>
      </c>
      <c r="F12" s="48">
        <v>49.0</v>
      </c>
      <c r="G12" s="48">
        <v>75.0</v>
      </c>
      <c r="H12" s="48">
        <v>31.0</v>
      </c>
      <c r="I12" s="48">
        <v>-964.0</v>
      </c>
      <c r="J12" s="43">
        <v>21.0</v>
      </c>
      <c r="K12" s="43">
        <v>-1243.0</v>
      </c>
      <c r="L12" s="43">
        <v>96.0</v>
      </c>
      <c r="M12" s="43">
        <v>109.0</v>
      </c>
      <c r="N12" s="43">
        <v>0.0</v>
      </c>
    </row>
    <row r="13" ht="15.75" customHeight="1">
      <c r="B13" s="44" t="s">
        <v>93</v>
      </c>
      <c r="C13" s="43">
        <v>195.0</v>
      </c>
      <c r="D13" s="43">
        <v>297.0</v>
      </c>
      <c r="E13" s="43">
        <v>283.0</v>
      </c>
      <c r="F13" s="48">
        <v>131.0</v>
      </c>
      <c r="G13" s="43">
        <v>171.0</v>
      </c>
      <c r="H13" s="43">
        <v>213.0</v>
      </c>
      <c r="I13" s="48">
        <v>193.0</v>
      </c>
      <c r="J13" s="48">
        <v>217.0</v>
      </c>
      <c r="K13" s="43">
        <v>213.0</v>
      </c>
      <c r="L13" s="43">
        <v>309.0</v>
      </c>
      <c r="M13" s="43">
        <v>355.0</v>
      </c>
      <c r="N13" s="43">
        <v>687.0</v>
      </c>
    </row>
    <row r="14" ht="15.75" customHeight="1">
      <c r="B14" s="44" t="s">
        <v>94</v>
      </c>
      <c r="C14" s="49">
        <v>677.0</v>
      </c>
      <c r="D14" s="49">
        <v>706.0</v>
      </c>
      <c r="E14" s="46">
        <v>1116.0</v>
      </c>
      <c r="F14" s="46">
        <v>1047.0</v>
      </c>
      <c r="G14" s="49">
        <v>840.0</v>
      </c>
      <c r="H14" s="49">
        <v>892.0</v>
      </c>
      <c r="I14" s="49">
        <v>892.0</v>
      </c>
      <c r="J14" s="49">
        <v>719.0</v>
      </c>
      <c r="K14" s="49">
        <v>582.0</v>
      </c>
      <c r="L14" s="49">
        <v>668.0</v>
      </c>
      <c r="M14" s="49">
        <v>781.0</v>
      </c>
      <c r="N14" s="46">
        <v>874.0</v>
      </c>
    </row>
    <row r="15" ht="15.75" customHeight="1">
      <c r="B15" s="44" t="s">
        <v>95</v>
      </c>
      <c r="C15" s="48">
        <v>535.0</v>
      </c>
      <c r="D15" s="43">
        <v>548.0</v>
      </c>
      <c r="E15" s="43">
        <v>899.0</v>
      </c>
      <c r="F15" s="43">
        <v>989.0</v>
      </c>
      <c r="G15" s="43">
        <v>1111.0</v>
      </c>
      <c r="H15" s="43">
        <v>1163.0</v>
      </c>
      <c r="I15" s="43">
        <v>1230.0</v>
      </c>
      <c r="J15" s="43">
        <v>1180.0</v>
      </c>
      <c r="K15" s="43">
        <v>1234.0</v>
      </c>
      <c r="L15" s="43">
        <v>1059.0</v>
      </c>
      <c r="M15" s="43">
        <v>1123.0</v>
      </c>
      <c r="N15" s="43">
        <v>1072.0</v>
      </c>
    </row>
    <row r="16" ht="15.75" customHeight="1">
      <c r="B16" s="44" t="s">
        <v>96</v>
      </c>
      <c r="C16" s="49">
        <v>246.0</v>
      </c>
      <c r="D16" s="46">
        <v>1109.0</v>
      </c>
      <c r="E16" s="46">
        <v>1273.0</v>
      </c>
      <c r="F16" s="49">
        <v>584.0</v>
      </c>
      <c r="G16" s="46">
        <v>1376.0</v>
      </c>
      <c r="H16" s="46">
        <v>1248.0</v>
      </c>
      <c r="I16" s="49">
        <v>546.0</v>
      </c>
      <c r="J16" s="46">
        <v>1583.0</v>
      </c>
      <c r="K16" s="46">
        <v>514.0</v>
      </c>
      <c r="L16" s="46">
        <v>2931.0</v>
      </c>
      <c r="M16" s="46">
        <v>2446.0</v>
      </c>
      <c r="N16" s="46">
        <v>3098.0</v>
      </c>
    </row>
    <row r="17" ht="15.75" customHeight="1">
      <c r="B17" s="44" t="s">
        <v>97</v>
      </c>
      <c r="C17" s="50">
        <v>0.62</v>
      </c>
      <c r="D17" s="50">
        <v>0.33</v>
      </c>
      <c r="E17" s="50">
        <v>0.29</v>
      </c>
      <c r="F17" s="50">
        <v>0.26</v>
      </c>
      <c r="G17" s="50">
        <v>0.33</v>
      </c>
      <c r="H17" s="50">
        <v>0.29</v>
      </c>
      <c r="I17" s="50">
        <v>-1.27</v>
      </c>
      <c r="J17" s="50">
        <v>0.16</v>
      </c>
      <c r="K17" s="50">
        <v>0.2</v>
      </c>
      <c r="L17" s="50">
        <v>0.28</v>
      </c>
      <c r="M17" s="50">
        <v>0.26</v>
      </c>
      <c r="N17" s="50">
        <v>0.08</v>
      </c>
    </row>
    <row r="18" ht="15.75" customHeight="1">
      <c r="B18" s="42" t="s">
        <v>98</v>
      </c>
      <c r="C18" s="49">
        <v>95.0</v>
      </c>
      <c r="D18" s="49">
        <v>742.0</v>
      </c>
      <c r="E18" s="46">
        <v>899.0</v>
      </c>
      <c r="F18" s="49">
        <v>432.0</v>
      </c>
      <c r="G18" s="46">
        <v>922.0</v>
      </c>
      <c r="H18" s="49">
        <v>889.0</v>
      </c>
      <c r="I18" s="46">
        <v>1238.0</v>
      </c>
      <c r="J18" s="46">
        <v>1325.0</v>
      </c>
      <c r="K18" s="46">
        <v>410.0</v>
      </c>
      <c r="L18" s="46">
        <v>2104.0</v>
      </c>
      <c r="M18" s="46">
        <v>1798.0</v>
      </c>
      <c r="N18" s="46">
        <v>2851.0</v>
      </c>
    </row>
    <row r="19" ht="15.75" customHeight="1">
      <c r="B19" s="44" t="s">
        <v>99</v>
      </c>
      <c r="C19" s="49">
        <v>11.0</v>
      </c>
      <c r="D19" s="49">
        <v>6.0</v>
      </c>
      <c r="E19" s="49">
        <v>39.0</v>
      </c>
      <c r="F19" s="49">
        <v>36.0</v>
      </c>
      <c r="G19" s="49">
        <v>50.0</v>
      </c>
      <c r="H19" s="49">
        <v>22.0</v>
      </c>
      <c r="I19" s="49">
        <v>-424.0</v>
      </c>
      <c r="J19" s="49">
        <v>17.0</v>
      </c>
      <c r="K19" s="49">
        <v>-355.0</v>
      </c>
      <c r="L19" s="49">
        <v>69.0</v>
      </c>
      <c r="M19" s="49">
        <v>80.0</v>
      </c>
      <c r="N19" s="49">
        <v>0.0</v>
      </c>
    </row>
    <row r="20" ht="15.75" customHeight="1">
      <c r="B20" s="44" t="s">
        <v>100</v>
      </c>
      <c r="C20" s="49">
        <v>84.0</v>
      </c>
      <c r="D20" s="49">
        <v>736.0</v>
      </c>
      <c r="E20" s="49">
        <v>861.0</v>
      </c>
      <c r="F20" s="49">
        <v>396.0</v>
      </c>
      <c r="G20" s="49">
        <v>872.0</v>
      </c>
      <c r="H20" s="49">
        <v>867.0</v>
      </c>
      <c r="I20" s="46">
        <v>1662.0</v>
      </c>
      <c r="J20" s="46">
        <v>1308.0</v>
      </c>
      <c r="K20" s="49">
        <v>765.0</v>
      </c>
      <c r="L20" s="46">
        <v>2035.0</v>
      </c>
      <c r="M20" s="46">
        <v>1718.0</v>
      </c>
      <c r="N20" s="46">
        <v>2851.0</v>
      </c>
    </row>
    <row r="21" ht="15.75" customHeight="1">
      <c r="B21" s="44" t="s">
        <v>101</v>
      </c>
      <c r="C21" s="49">
        <v>84.0</v>
      </c>
      <c r="D21" s="49">
        <v>736.0</v>
      </c>
      <c r="E21" s="49">
        <v>861.0</v>
      </c>
      <c r="F21" s="49">
        <v>396.0</v>
      </c>
      <c r="G21" s="49">
        <v>872.0</v>
      </c>
      <c r="H21" s="49">
        <v>867.0</v>
      </c>
      <c r="I21" s="46">
        <v>1662.0</v>
      </c>
      <c r="J21" s="46">
        <v>1308.0</v>
      </c>
      <c r="K21" s="49">
        <v>765.0</v>
      </c>
      <c r="L21" s="46">
        <v>2035.0</v>
      </c>
      <c r="M21" s="46">
        <v>1718.0</v>
      </c>
      <c r="N21" s="46">
        <v>2851.0</v>
      </c>
    </row>
    <row r="22" ht="15.75" customHeight="1">
      <c r="B22" s="44" t="s">
        <v>102</v>
      </c>
      <c r="C22" s="49">
        <v>95.0</v>
      </c>
      <c r="D22" s="49">
        <v>742.0</v>
      </c>
      <c r="E22" s="49">
        <v>899.0</v>
      </c>
      <c r="F22" s="49">
        <v>432.0</v>
      </c>
      <c r="G22" s="49">
        <v>922.0</v>
      </c>
      <c r="H22" s="49">
        <v>889.0</v>
      </c>
      <c r="I22" s="46">
        <v>1238.0</v>
      </c>
      <c r="J22" s="46">
        <v>1325.0</v>
      </c>
      <c r="K22" s="49">
        <v>410.0</v>
      </c>
      <c r="L22" s="46">
        <v>2104.0</v>
      </c>
      <c r="M22" s="46">
        <v>1798.0</v>
      </c>
      <c r="N22" s="46">
        <v>2851.0</v>
      </c>
    </row>
    <row r="23" ht="15.75" customHeight="1">
      <c r="B23" s="44" t="s">
        <v>103</v>
      </c>
      <c r="C23" s="48">
        <v>2.01</v>
      </c>
      <c r="D23" s="48">
        <v>15.71</v>
      </c>
      <c r="E23" s="48">
        <v>18.71</v>
      </c>
      <c r="F23" s="48">
        <v>9.0</v>
      </c>
      <c r="G23" s="48">
        <v>19.18</v>
      </c>
      <c r="H23" s="48">
        <v>18.5</v>
      </c>
      <c r="I23" s="48">
        <v>25.76</v>
      </c>
      <c r="J23" s="48">
        <v>27.57</v>
      </c>
      <c r="K23" s="48">
        <v>8.52</v>
      </c>
      <c r="L23" s="48">
        <v>43.77</v>
      </c>
      <c r="M23" s="48">
        <v>37.41</v>
      </c>
      <c r="N23" s="48">
        <v>56.58</v>
      </c>
    </row>
    <row r="24" ht="15.75" customHeight="1">
      <c r="B24" s="44" t="s">
        <v>104</v>
      </c>
      <c r="C24" s="47">
        <v>0.25</v>
      </c>
      <c r="D24" s="47">
        <v>0.1</v>
      </c>
      <c r="E24" s="47">
        <v>0.24</v>
      </c>
      <c r="F24" s="47">
        <v>0.24</v>
      </c>
      <c r="G24" s="47">
        <v>0.26</v>
      </c>
      <c r="H24" s="47">
        <v>0.27</v>
      </c>
      <c r="I24" s="47">
        <v>0.45</v>
      </c>
      <c r="J24" s="47">
        <v>0.4</v>
      </c>
      <c r="K24" s="47">
        <v>1.06</v>
      </c>
      <c r="L24" s="47">
        <v>0.59</v>
      </c>
      <c r="M24" s="47">
        <v>0.43</v>
      </c>
      <c r="N24" s="47">
        <v>0.34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7"/>
    <col customWidth="1" min="2" max="2" width="32.0"/>
    <col customWidth="1" min="3" max="14" width="13.44"/>
    <col customWidth="1" min="15" max="15" width="10.56"/>
  </cols>
  <sheetData>
    <row r="1" ht="15.75" customHeight="1"/>
    <row r="2" ht="15.75" customHeight="1">
      <c r="B2" s="51" t="s">
        <v>33</v>
      </c>
      <c r="C2" s="52" t="s">
        <v>34</v>
      </c>
      <c r="D2" s="52" t="s">
        <v>35</v>
      </c>
      <c r="E2" s="52" t="s">
        <v>36</v>
      </c>
      <c r="F2" s="52" t="s">
        <v>37</v>
      </c>
      <c r="G2" s="52" t="s">
        <v>38</v>
      </c>
      <c r="H2" s="52" t="s">
        <v>39</v>
      </c>
      <c r="I2" s="52" t="s">
        <v>40</v>
      </c>
      <c r="J2" s="52" t="s">
        <v>41</v>
      </c>
      <c r="K2" s="52" t="s">
        <v>42</v>
      </c>
      <c r="L2" s="52" t="s">
        <v>43</v>
      </c>
      <c r="M2" s="52" t="s">
        <v>44</v>
      </c>
      <c r="N2" s="52" t="s">
        <v>45</v>
      </c>
    </row>
    <row r="3" ht="15.75" customHeight="1">
      <c r="B3" s="42" t="s">
        <v>105</v>
      </c>
      <c r="C3" s="43">
        <v>1272.0</v>
      </c>
      <c r="D3" s="43">
        <v>1640.0</v>
      </c>
      <c r="E3" s="43">
        <v>2502.0</v>
      </c>
      <c r="F3" s="43">
        <v>2312.0</v>
      </c>
      <c r="G3" s="43">
        <v>2803.0</v>
      </c>
      <c r="H3" s="43">
        <v>2334.0</v>
      </c>
      <c r="I3" s="43">
        <v>3469.0</v>
      </c>
      <c r="J3" s="43">
        <v>2670.0</v>
      </c>
      <c r="K3" s="43">
        <v>2981.0</v>
      </c>
      <c r="L3" s="43">
        <v>3118.0</v>
      </c>
      <c r="M3" s="43">
        <v>3414.0</v>
      </c>
      <c r="N3" s="43">
        <v>4278.0</v>
      </c>
    </row>
    <row r="4" ht="15.75" customHeight="1">
      <c r="B4" s="53" t="s">
        <v>106</v>
      </c>
      <c r="C4" s="43">
        <v>1252.0</v>
      </c>
      <c r="D4" s="43">
        <v>1931.0</v>
      </c>
      <c r="E4" s="43">
        <v>2870.0</v>
      </c>
      <c r="F4" s="43">
        <v>2420.0</v>
      </c>
      <c r="G4" s="43">
        <v>3119.0</v>
      </c>
      <c r="H4" s="43">
        <v>3026.0</v>
      </c>
      <c r="I4" s="43">
        <v>3624.0</v>
      </c>
      <c r="J4" s="43">
        <v>3267.0</v>
      </c>
      <c r="K4" s="43">
        <v>3292.0</v>
      </c>
      <c r="L4" s="43">
        <v>4244.0</v>
      </c>
      <c r="M4" s="43">
        <v>3763.0</v>
      </c>
      <c r="N4" s="43">
        <v>4379.0</v>
      </c>
    </row>
    <row r="5" ht="15.75" customHeight="1">
      <c r="B5" s="53" t="s">
        <v>107</v>
      </c>
      <c r="C5" s="48">
        <v>-68.0</v>
      </c>
      <c r="D5" s="48">
        <v>-74.0</v>
      </c>
      <c r="E5" s="48">
        <v>-97.0</v>
      </c>
      <c r="F5" s="48">
        <v>66.0</v>
      </c>
      <c r="G5" s="48">
        <v>-165.0</v>
      </c>
      <c r="H5" s="48">
        <v>-66.0</v>
      </c>
      <c r="I5" s="48">
        <v>-75.0</v>
      </c>
      <c r="J5" s="48">
        <v>-322.0</v>
      </c>
      <c r="K5" s="48">
        <v>-94.0</v>
      </c>
      <c r="L5" s="48">
        <v>-135.0</v>
      </c>
      <c r="M5" s="48">
        <v>-55.0</v>
      </c>
      <c r="N5" s="48">
        <v>-163.0</v>
      </c>
    </row>
    <row r="6" ht="15.75" customHeight="1">
      <c r="B6" s="53" t="s">
        <v>108</v>
      </c>
      <c r="C6" s="48">
        <v>-39.0</v>
      </c>
      <c r="D6" s="48">
        <v>30.0</v>
      </c>
      <c r="E6" s="48">
        <v>-103.0</v>
      </c>
      <c r="F6" s="48">
        <v>51.0</v>
      </c>
      <c r="G6" s="48">
        <v>-86.0</v>
      </c>
      <c r="H6" s="48">
        <v>-172.0</v>
      </c>
      <c r="I6" s="48">
        <v>29.0</v>
      </c>
      <c r="J6" s="48">
        <v>150.0</v>
      </c>
      <c r="K6" s="43">
        <v>-52.0</v>
      </c>
      <c r="L6" s="48">
        <v>-208.0</v>
      </c>
      <c r="M6" s="48">
        <v>179.0</v>
      </c>
      <c r="N6" s="48">
        <v>-143.0</v>
      </c>
    </row>
    <row r="7" ht="15.75" customHeight="1">
      <c r="B7" s="53" t="s">
        <v>109</v>
      </c>
      <c r="C7" s="48">
        <v>45.0</v>
      </c>
      <c r="D7" s="48">
        <v>-12.0</v>
      </c>
      <c r="E7" s="48">
        <v>235.0</v>
      </c>
      <c r="F7" s="48">
        <v>-169.0</v>
      </c>
      <c r="G7" s="48">
        <v>-33.0</v>
      </c>
      <c r="H7" s="48">
        <v>174.0</v>
      </c>
      <c r="I7" s="48">
        <v>204.0</v>
      </c>
      <c r="J7" s="48">
        <v>-42.0</v>
      </c>
      <c r="K7" s="48">
        <v>198.0</v>
      </c>
      <c r="L7" s="43">
        <v>40.0</v>
      </c>
      <c r="M7" s="43">
        <v>187.0</v>
      </c>
      <c r="N7" s="43">
        <v>337.0</v>
      </c>
    </row>
    <row r="8" ht="15.75" customHeight="1">
      <c r="B8" s="53" t="s">
        <v>110</v>
      </c>
      <c r="C8" s="48">
        <v>7.0</v>
      </c>
      <c r="D8" s="48">
        <v>-554.0</v>
      </c>
      <c r="E8" s="48">
        <v>0.0</v>
      </c>
      <c r="F8" s="48">
        <v>-19.0</v>
      </c>
      <c r="G8" s="48">
        <v>-14.0</v>
      </c>
      <c r="H8" s="48">
        <v>1.0</v>
      </c>
      <c r="I8" s="48">
        <v>-1.0</v>
      </c>
      <c r="J8" s="48">
        <v>0.0</v>
      </c>
      <c r="K8" s="48">
        <v>0.0</v>
      </c>
      <c r="L8" s="48">
        <v>0.0</v>
      </c>
      <c r="M8" s="48">
        <v>0.0</v>
      </c>
      <c r="N8" s="48">
        <v>0.0</v>
      </c>
    </row>
    <row r="9" ht="15.75" customHeight="1">
      <c r="B9" s="53" t="s">
        <v>111</v>
      </c>
      <c r="C9" s="48">
        <v>94.0</v>
      </c>
      <c r="D9" s="48">
        <v>434.0</v>
      </c>
      <c r="E9" s="48">
        <v>-92.0</v>
      </c>
      <c r="F9" s="48">
        <v>66.0</v>
      </c>
      <c r="G9" s="48">
        <v>294.0</v>
      </c>
      <c r="H9" s="48">
        <v>-350.0</v>
      </c>
      <c r="I9" s="48">
        <v>-21.0</v>
      </c>
      <c r="J9" s="48">
        <v>-130.0</v>
      </c>
      <c r="K9" s="48">
        <v>-134.0</v>
      </c>
      <c r="L9" s="48">
        <v>-357.0</v>
      </c>
      <c r="M9" s="43">
        <v>-223.0</v>
      </c>
      <c r="N9" s="48">
        <v>27.0</v>
      </c>
    </row>
    <row r="10" ht="15.75" customHeight="1">
      <c r="B10" s="53" t="s">
        <v>112</v>
      </c>
      <c r="C10" s="48">
        <v>39.0</v>
      </c>
      <c r="D10" s="48">
        <v>-176.0</v>
      </c>
      <c r="E10" s="48">
        <v>-57.0</v>
      </c>
      <c r="F10" s="48">
        <v>-5.0</v>
      </c>
      <c r="G10" s="48">
        <v>-4.0</v>
      </c>
      <c r="H10" s="48">
        <v>-413.0</v>
      </c>
      <c r="I10" s="48">
        <v>135.0</v>
      </c>
      <c r="J10" s="48">
        <v>-343.0</v>
      </c>
      <c r="K10" s="48">
        <v>-82.0</v>
      </c>
      <c r="L10" s="43">
        <v>-660.0</v>
      </c>
      <c r="M10" s="43">
        <v>89.0</v>
      </c>
      <c r="N10" s="43">
        <v>59.0</v>
      </c>
    </row>
    <row r="11" ht="15.75" customHeight="1">
      <c r="B11" s="53" t="s">
        <v>113</v>
      </c>
      <c r="C11" s="48">
        <v>-19.0</v>
      </c>
      <c r="D11" s="48">
        <v>-115.0</v>
      </c>
      <c r="E11" s="48">
        <v>-312.0</v>
      </c>
      <c r="F11" s="48">
        <v>-104.0</v>
      </c>
      <c r="G11" s="48">
        <v>-311.0</v>
      </c>
      <c r="H11" s="48">
        <v>-279.0</v>
      </c>
      <c r="I11" s="48">
        <v>-290.0</v>
      </c>
      <c r="J11" s="48">
        <v>-254.0</v>
      </c>
      <c r="K11" s="48">
        <v>-229.0</v>
      </c>
      <c r="L11" s="48">
        <v>-466.0</v>
      </c>
      <c r="M11" s="48">
        <v>-438.0</v>
      </c>
      <c r="N11" s="48">
        <v>-159.0</v>
      </c>
    </row>
    <row r="12" ht="15.75" customHeight="1">
      <c r="B12" s="42" t="s">
        <v>114</v>
      </c>
      <c r="C12" s="46">
        <v>-1225.0</v>
      </c>
      <c r="D12" s="46">
        <v>-357.0</v>
      </c>
      <c r="E12" s="46">
        <v>-913.0</v>
      </c>
      <c r="F12" s="46">
        <v>-2111.0</v>
      </c>
      <c r="G12" s="46">
        <v>-2493.0</v>
      </c>
      <c r="H12" s="46">
        <v>-1231.0</v>
      </c>
      <c r="I12" s="46">
        <v>-1096.0</v>
      </c>
      <c r="J12" s="46">
        <v>-595.0</v>
      </c>
      <c r="K12" s="46">
        <v>-2512.0</v>
      </c>
      <c r="L12" s="46">
        <v>-2137.0</v>
      </c>
      <c r="M12" s="46">
        <v>-3187.0</v>
      </c>
      <c r="N12" s="46">
        <v>-2880.0</v>
      </c>
    </row>
    <row r="13" ht="15.75" customHeight="1">
      <c r="B13" s="53" t="s">
        <v>115</v>
      </c>
      <c r="C13" s="46">
        <v>-626.0</v>
      </c>
      <c r="D13" s="46">
        <v>-541.0</v>
      </c>
      <c r="E13" s="46">
        <v>-1305.0</v>
      </c>
      <c r="F13" s="46">
        <v>-2531.0</v>
      </c>
      <c r="G13" s="46">
        <v>-1724.0</v>
      </c>
      <c r="H13" s="46">
        <v>-1583.0</v>
      </c>
      <c r="I13" s="46">
        <v>-680.0</v>
      </c>
      <c r="J13" s="46">
        <v>-1281.0</v>
      </c>
      <c r="K13" s="46">
        <v>-1541.0</v>
      </c>
      <c r="L13" s="46">
        <v>-1909.0</v>
      </c>
      <c r="M13" s="46">
        <v>-1754.0</v>
      </c>
      <c r="N13" s="46">
        <v>-1457.0</v>
      </c>
    </row>
    <row r="14" ht="15.75" customHeight="1">
      <c r="B14" s="53" t="s">
        <v>116</v>
      </c>
      <c r="C14" s="49">
        <v>4.0</v>
      </c>
      <c r="D14" s="49">
        <v>12.0</v>
      </c>
      <c r="E14" s="49">
        <v>10.0</v>
      </c>
      <c r="F14" s="49">
        <v>9.0</v>
      </c>
      <c r="G14" s="49">
        <v>61.0</v>
      </c>
      <c r="H14" s="49">
        <v>101.0</v>
      </c>
      <c r="I14" s="49">
        <v>10.0</v>
      </c>
      <c r="J14" s="49">
        <v>7.0</v>
      </c>
      <c r="K14" s="49">
        <v>47.0</v>
      </c>
      <c r="L14" s="49">
        <v>66.0</v>
      </c>
      <c r="M14" s="49">
        <v>56.0</v>
      </c>
      <c r="N14" s="49">
        <v>23.0</v>
      </c>
    </row>
    <row r="15" ht="15.75" customHeight="1">
      <c r="B15" s="53" t="s">
        <v>117</v>
      </c>
      <c r="C15" s="46">
        <v>-1.0</v>
      </c>
      <c r="D15" s="46">
        <v>-1.0</v>
      </c>
      <c r="E15" s="46">
        <v>-1.0</v>
      </c>
      <c r="F15" s="46">
        <v>-70.0</v>
      </c>
      <c r="G15" s="49">
        <v>-15.0</v>
      </c>
      <c r="H15" s="46">
        <v>-2.0</v>
      </c>
      <c r="I15" s="49">
        <v>-2.0</v>
      </c>
      <c r="J15" s="49">
        <v>-2.0</v>
      </c>
      <c r="K15" s="49">
        <v>-557.0</v>
      </c>
      <c r="L15" s="46">
        <v>-351.0</v>
      </c>
      <c r="M15" s="49">
        <v>-124.0</v>
      </c>
      <c r="N15" s="49">
        <v>-5.0</v>
      </c>
    </row>
    <row r="16" ht="15.75" customHeight="1">
      <c r="B16" s="53" t="s">
        <v>118</v>
      </c>
      <c r="C16" s="46">
        <v>2.0</v>
      </c>
      <c r="D16" s="46">
        <v>0.0</v>
      </c>
      <c r="E16" s="46">
        <v>0.0</v>
      </c>
      <c r="F16" s="46">
        <v>0.0</v>
      </c>
      <c r="G16" s="49">
        <v>0.0</v>
      </c>
      <c r="H16" s="46">
        <v>176.0</v>
      </c>
      <c r="I16" s="49">
        <v>202.0</v>
      </c>
      <c r="J16" s="49">
        <v>279.0</v>
      </c>
      <c r="K16" s="46">
        <v>12.0</v>
      </c>
      <c r="L16" s="46">
        <v>99.0</v>
      </c>
      <c r="M16" s="49">
        <v>26.0</v>
      </c>
      <c r="N16" s="49">
        <v>182.0</v>
      </c>
    </row>
    <row r="17" ht="15.75" customHeight="1">
      <c r="B17" s="53" t="s">
        <v>119</v>
      </c>
      <c r="C17" s="49">
        <v>134.0</v>
      </c>
      <c r="D17" s="49">
        <v>146.0</v>
      </c>
      <c r="E17" s="49">
        <v>141.0</v>
      </c>
      <c r="F17" s="49">
        <v>73.0</v>
      </c>
      <c r="G17" s="49">
        <v>78.0</v>
      </c>
      <c r="H17" s="49">
        <v>123.0</v>
      </c>
      <c r="I17" s="49">
        <v>106.0</v>
      </c>
      <c r="J17" s="49">
        <v>199.0</v>
      </c>
      <c r="K17" s="49">
        <v>145.0</v>
      </c>
      <c r="L17" s="49">
        <v>146.0</v>
      </c>
      <c r="M17" s="49">
        <v>175.0</v>
      </c>
      <c r="N17" s="49">
        <v>404.0</v>
      </c>
    </row>
    <row r="18" ht="15.75" customHeight="1">
      <c r="B18" s="53" t="s">
        <v>120</v>
      </c>
      <c r="C18" s="49">
        <v>13.0</v>
      </c>
      <c r="D18" s="49">
        <v>5.0</v>
      </c>
      <c r="E18" s="49">
        <v>4.0</v>
      </c>
      <c r="F18" s="49">
        <v>5.0</v>
      </c>
      <c r="G18" s="49">
        <v>7.0</v>
      </c>
      <c r="H18" s="49">
        <v>7.0</v>
      </c>
      <c r="I18" s="49">
        <v>15.0</v>
      </c>
      <c r="J18" s="49">
        <v>31.0</v>
      </c>
      <c r="K18" s="49">
        <v>15.0</v>
      </c>
      <c r="L18" s="46">
        <v>31.0</v>
      </c>
      <c r="M18" s="46">
        <v>34.0</v>
      </c>
      <c r="N18" s="46">
        <v>21.0</v>
      </c>
    </row>
    <row r="19" ht="15.75" customHeight="1">
      <c r="B19" s="53" t="s">
        <v>121</v>
      </c>
      <c r="C19" s="46">
        <v>-724.0</v>
      </c>
      <c r="D19" s="49">
        <v>-80.0</v>
      </c>
      <c r="E19" s="49">
        <v>0.0</v>
      </c>
      <c r="F19" s="46">
        <v>0.0</v>
      </c>
      <c r="G19" s="46">
        <v>0.0</v>
      </c>
      <c r="H19" s="49">
        <v>-221.0</v>
      </c>
      <c r="I19" s="49">
        <v>-2.0</v>
      </c>
      <c r="J19" s="49">
        <v>0.0</v>
      </c>
      <c r="K19" s="49">
        <v>-606.0</v>
      </c>
      <c r="L19" s="49">
        <v>-175.0</v>
      </c>
      <c r="M19" s="49">
        <v>-90.0</v>
      </c>
      <c r="N19" s="46">
        <v>-1175.0</v>
      </c>
    </row>
    <row r="20" ht="15.75" customHeight="1">
      <c r="B20" s="54" t="s">
        <v>122</v>
      </c>
      <c r="C20" s="55"/>
      <c r="D20" s="56"/>
      <c r="E20" s="56"/>
      <c r="F20" s="55"/>
      <c r="G20" s="55"/>
      <c r="H20" s="56"/>
      <c r="I20" s="56"/>
      <c r="J20" s="56"/>
      <c r="K20" s="56"/>
      <c r="L20" s="56"/>
      <c r="M20" s="56"/>
      <c r="N20" s="56"/>
    </row>
    <row r="21" ht="15.75" customHeight="1">
      <c r="B21" s="53" t="s">
        <v>123</v>
      </c>
      <c r="C21" s="46">
        <v>0.0</v>
      </c>
      <c r="D21" s="49">
        <v>0.0</v>
      </c>
      <c r="E21" s="46">
        <v>0.0</v>
      </c>
      <c r="F21" s="49">
        <v>0.0</v>
      </c>
      <c r="G21" s="46">
        <v>0.0</v>
      </c>
      <c r="H21" s="49">
        <v>0.0</v>
      </c>
      <c r="I21" s="49">
        <v>0.0</v>
      </c>
      <c r="J21" s="49">
        <v>0.0</v>
      </c>
      <c r="K21" s="49">
        <v>0.0</v>
      </c>
      <c r="L21" s="49">
        <v>0.0</v>
      </c>
      <c r="M21" s="49">
        <v>0.0</v>
      </c>
      <c r="N21" s="49">
        <v>0.0</v>
      </c>
    </row>
    <row r="22" ht="15.75" customHeight="1">
      <c r="B22" s="53" t="s">
        <v>124</v>
      </c>
      <c r="C22" s="49">
        <v>0.0</v>
      </c>
      <c r="D22" s="49">
        <v>0.0</v>
      </c>
      <c r="E22" s="49">
        <v>0.0</v>
      </c>
      <c r="F22" s="49">
        <v>0.0</v>
      </c>
      <c r="G22" s="49">
        <v>0.0</v>
      </c>
      <c r="H22" s="49">
        <v>0.0</v>
      </c>
      <c r="I22" s="49">
        <v>0.0</v>
      </c>
      <c r="J22" s="49">
        <v>0.0</v>
      </c>
      <c r="K22" s="49">
        <v>0.0</v>
      </c>
      <c r="L22" s="49">
        <v>0.0</v>
      </c>
      <c r="M22" s="49">
        <v>0.0</v>
      </c>
      <c r="N22" s="46">
        <v>1451.0</v>
      </c>
    </row>
    <row r="23" ht="15.75" customHeight="1">
      <c r="B23" s="57" t="s">
        <v>125</v>
      </c>
      <c r="C23" s="56"/>
      <c r="D23" s="56"/>
      <c r="E23" s="56"/>
      <c r="F23" s="56"/>
      <c r="G23" s="56"/>
      <c r="H23" s="56"/>
      <c r="I23" s="56"/>
      <c r="J23" s="56"/>
      <c r="K23" s="56"/>
      <c r="L23" s="56"/>
      <c r="M23" s="56"/>
      <c r="N23" s="56"/>
    </row>
    <row r="24" ht="15.75" customHeight="1">
      <c r="B24" s="53" t="s">
        <v>126</v>
      </c>
      <c r="C24" s="49">
        <v>0.0</v>
      </c>
      <c r="D24" s="49">
        <v>0.0</v>
      </c>
      <c r="E24" s="49">
        <v>0.0</v>
      </c>
      <c r="F24" s="49">
        <v>0.0</v>
      </c>
      <c r="G24" s="49">
        <v>0.0</v>
      </c>
      <c r="H24" s="49">
        <v>0.0</v>
      </c>
      <c r="I24" s="49">
        <v>25.0</v>
      </c>
      <c r="J24" s="49">
        <v>-100.0</v>
      </c>
      <c r="K24" s="49">
        <v>113.0</v>
      </c>
      <c r="L24" s="49">
        <v>267.0</v>
      </c>
      <c r="M24" s="49">
        <v>0.0</v>
      </c>
      <c r="N24" s="49">
        <v>0.0</v>
      </c>
    </row>
    <row r="25" ht="15.75" customHeight="1">
      <c r="B25" s="53" t="s">
        <v>127</v>
      </c>
      <c r="C25" s="49">
        <v>-27.0</v>
      </c>
      <c r="D25" s="49">
        <v>102.0</v>
      </c>
      <c r="E25" s="49">
        <v>238.0</v>
      </c>
      <c r="F25" s="49">
        <v>402.0</v>
      </c>
      <c r="G25" s="49">
        <v>-899.0</v>
      </c>
      <c r="H25" s="49">
        <v>169.0</v>
      </c>
      <c r="I25" s="49">
        <v>-771.0</v>
      </c>
      <c r="J25" s="49">
        <v>272.0</v>
      </c>
      <c r="K25" s="49">
        <v>-140.0</v>
      </c>
      <c r="L25" s="49">
        <v>-311.0</v>
      </c>
      <c r="M25" s="46">
        <v>-1511.0</v>
      </c>
      <c r="N25" s="46">
        <v>-2324.0</v>
      </c>
    </row>
    <row r="26" ht="15.75" customHeight="1">
      <c r="B26" s="42" t="s">
        <v>128</v>
      </c>
      <c r="C26" s="43">
        <v>532.0</v>
      </c>
      <c r="D26" s="43">
        <v>-1161.0</v>
      </c>
      <c r="E26" s="43">
        <v>-2126.0</v>
      </c>
      <c r="F26" s="48">
        <v>-640.0</v>
      </c>
      <c r="G26" s="43">
        <v>-278.0</v>
      </c>
      <c r="H26" s="43">
        <v>-1123.0</v>
      </c>
      <c r="I26" s="43">
        <v>-2408.0</v>
      </c>
      <c r="J26" s="43">
        <v>-2059.0</v>
      </c>
      <c r="K26" s="48">
        <v>-402.0</v>
      </c>
      <c r="L26" s="43">
        <v>-1004.0</v>
      </c>
      <c r="M26" s="48">
        <v>-101.0</v>
      </c>
      <c r="N26" s="43">
        <v>-1438.0</v>
      </c>
    </row>
    <row r="27" ht="15.75" customHeight="1">
      <c r="B27" s="53" t="s">
        <v>129</v>
      </c>
      <c r="C27" s="48">
        <v>0.0</v>
      </c>
      <c r="D27" s="48">
        <v>0.0</v>
      </c>
      <c r="E27" s="43">
        <v>0.0</v>
      </c>
      <c r="F27" s="43">
        <v>0.0</v>
      </c>
      <c r="G27" s="43">
        <v>0.0</v>
      </c>
      <c r="H27" s="48">
        <v>0.0</v>
      </c>
      <c r="I27" s="43">
        <v>0.0</v>
      </c>
      <c r="J27" s="43">
        <v>0.0</v>
      </c>
      <c r="K27" s="43">
        <v>0.0</v>
      </c>
      <c r="L27" s="43">
        <v>0.0</v>
      </c>
      <c r="M27" s="43">
        <v>0.0</v>
      </c>
      <c r="N27" s="43">
        <v>3440.0</v>
      </c>
    </row>
    <row r="28" ht="15.75" customHeight="1">
      <c r="B28" s="53" t="s">
        <v>130</v>
      </c>
      <c r="C28" s="43">
        <v>1666.0</v>
      </c>
      <c r="D28" s="43">
        <v>37.0</v>
      </c>
      <c r="E28" s="43">
        <v>8633.0</v>
      </c>
      <c r="F28" s="43">
        <v>1649.0</v>
      </c>
      <c r="G28" s="48">
        <v>988.0</v>
      </c>
      <c r="H28" s="43">
        <v>1517.0</v>
      </c>
      <c r="I28" s="43">
        <v>2020.0</v>
      </c>
      <c r="J28" s="43">
        <v>1000.0</v>
      </c>
      <c r="K28" s="43">
        <v>1803.0</v>
      </c>
      <c r="L28" s="43">
        <v>2700.0</v>
      </c>
      <c r="M28" s="43">
        <v>3970.0</v>
      </c>
      <c r="N28" s="43">
        <v>1164.0</v>
      </c>
    </row>
    <row r="29" ht="15.75" customHeight="1">
      <c r="B29" s="53" t="s">
        <v>131</v>
      </c>
      <c r="C29" s="43">
        <v>-465.0</v>
      </c>
      <c r="D29" s="43">
        <v>-563.0</v>
      </c>
      <c r="E29" s="43">
        <v>-9414.0</v>
      </c>
      <c r="F29" s="43">
        <v>-1380.0</v>
      </c>
      <c r="G29" s="43">
        <v>-436.0</v>
      </c>
      <c r="H29" s="43">
        <v>-1622.0</v>
      </c>
      <c r="I29" s="43">
        <v>-2842.0</v>
      </c>
      <c r="J29" s="43">
        <v>-2141.0</v>
      </c>
      <c r="K29" s="43">
        <v>-1100.0</v>
      </c>
      <c r="L29" s="43">
        <v>-2177.0</v>
      </c>
      <c r="M29" s="43">
        <v>-2662.0</v>
      </c>
      <c r="N29" s="43">
        <v>-4486.0</v>
      </c>
    </row>
    <row r="30" ht="15.75" customHeight="1">
      <c r="B30" s="53" t="s">
        <v>132</v>
      </c>
      <c r="C30" s="43">
        <v>-676.0</v>
      </c>
      <c r="D30" s="43">
        <v>-715.0</v>
      </c>
      <c r="E30" s="43">
        <v>-1167.0</v>
      </c>
      <c r="F30" s="43">
        <v>-1022.0</v>
      </c>
      <c r="G30" s="43">
        <v>-820.0</v>
      </c>
      <c r="H30" s="43">
        <v>-896.0</v>
      </c>
      <c r="I30" s="43">
        <v>-807.0</v>
      </c>
      <c r="J30" s="43">
        <v>-763.0</v>
      </c>
      <c r="K30" s="43">
        <v>-600.0</v>
      </c>
      <c r="L30" s="43">
        <v>-679.0</v>
      </c>
      <c r="M30" s="43">
        <v>-799.0</v>
      </c>
      <c r="N30" s="43">
        <v>-885.0</v>
      </c>
    </row>
    <row r="31" ht="15.75" customHeight="1">
      <c r="B31" s="53" t="s">
        <v>133</v>
      </c>
      <c r="C31" s="48">
        <v>-94.0</v>
      </c>
      <c r="D31" s="43">
        <v>-24.0</v>
      </c>
      <c r="E31" s="43">
        <v>-284.0</v>
      </c>
      <c r="F31" s="43">
        <v>0.0</v>
      </c>
      <c r="G31" s="43">
        <v>-106.0</v>
      </c>
      <c r="H31" s="43">
        <v>-288.0</v>
      </c>
      <c r="I31" s="43">
        <v>-959.0</v>
      </c>
      <c r="J31" s="43">
        <v>-264.0</v>
      </c>
      <c r="K31" s="43">
        <v>-697.0</v>
      </c>
      <c r="L31" s="43">
        <v>-1057.0</v>
      </c>
      <c r="M31" s="43">
        <v>-769.0</v>
      </c>
      <c r="N31" s="43">
        <v>-898.0</v>
      </c>
    </row>
    <row r="32" ht="15.75" customHeight="1">
      <c r="B32" s="53" t="s">
        <v>134</v>
      </c>
      <c r="C32" s="48">
        <v>0.0</v>
      </c>
      <c r="D32" s="48">
        <v>0.0</v>
      </c>
      <c r="E32" s="48">
        <v>0.0</v>
      </c>
      <c r="F32" s="48">
        <v>0.0</v>
      </c>
      <c r="G32" s="48">
        <v>0.0</v>
      </c>
      <c r="H32" s="48">
        <v>0.0</v>
      </c>
      <c r="I32" s="48">
        <v>-6.0</v>
      </c>
      <c r="J32" s="48">
        <v>-7.0</v>
      </c>
      <c r="K32" s="48">
        <v>-9.0</v>
      </c>
      <c r="L32" s="48">
        <v>-8.0</v>
      </c>
      <c r="M32" s="48">
        <v>-20.0</v>
      </c>
      <c r="N32" s="48">
        <v>-17.0</v>
      </c>
    </row>
    <row r="33" ht="15.75" customHeight="1">
      <c r="B33" s="53" t="s">
        <v>135</v>
      </c>
      <c r="C33" s="48">
        <v>102.0</v>
      </c>
      <c r="D33" s="48">
        <v>103.0</v>
      </c>
      <c r="E33" s="48">
        <v>107.0</v>
      </c>
      <c r="F33" s="48">
        <v>114.0</v>
      </c>
      <c r="G33" s="48">
        <v>96.0</v>
      </c>
      <c r="H33" s="48">
        <v>166.0</v>
      </c>
      <c r="I33" s="48">
        <v>186.0</v>
      </c>
      <c r="J33" s="48">
        <v>116.0</v>
      </c>
      <c r="K33" s="48">
        <v>200.0</v>
      </c>
      <c r="L33" s="48">
        <v>217.0</v>
      </c>
      <c r="M33" s="48">
        <v>179.0</v>
      </c>
      <c r="N33" s="48">
        <v>243.0</v>
      </c>
    </row>
    <row r="34" ht="15.75" customHeight="1">
      <c r="B34" s="53" t="s">
        <v>136</v>
      </c>
      <c r="C34" s="49">
        <v>579.0</v>
      </c>
      <c r="D34" s="49">
        <v>122.0</v>
      </c>
      <c r="E34" s="49">
        <v>-537.0</v>
      </c>
      <c r="F34" s="49">
        <v>-439.0</v>
      </c>
      <c r="G34" s="49">
        <v>32.0</v>
      </c>
      <c r="H34" s="49">
        <v>-20.0</v>
      </c>
      <c r="I34" s="49">
        <v>-35.0</v>
      </c>
      <c r="J34" s="49">
        <v>16.0</v>
      </c>
      <c r="K34" s="49">
        <v>66.0</v>
      </c>
      <c r="L34" s="49">
        <v>-24.0</v>
      </c>
      <c r="M34" s="49">
        <v>126.0</v>
      </c>
      <c r="N34" s="49">
        <v>-41.0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4"/>
    <col customWidth="1" min="2" max="2" width="49.78"/>
    <col customWidth="1" min="3" max="3" width="11.78"/>
    <col customWidth="1" min="4" max="15" width="10.56"/>
  </cols>
  <sheetData>
    <row r="1" ht="15.75" customHeight="1"/>
    <row r="2" ht="15.75" customHeight="1">
      <c r="B2" s="51" t="s">
        <v>33</v>
      </c>
      <c r="C2" s="58" t="s">
        <v>37</v>
      </c>
      <c r="D2" s="58" t="s">
        <v>38</v>
      </c>
      <c r="E2" s="58" t="s">
        <v>39</v>
      </c>
      <c r="F2" s="58" t="s">
        <v>40</v>
      </c>
      <c r="G2" s="58" t="s">
        <v>41</v>
      </c>
      <c r="H2" s="58" t="s">
        <v>42</v>
      </c>
      <c r="I2" s="58" t="s">
        <v>43</v>
      </c>
      <c r="J2" s="58" t="s">
        <v>44</v>
      </c>
      <c r="K2" s="58" t="s">
        <v>45</v>
      </c>
    </row>
    <row r="3" ht="15.75" customHeight="1">
      <c r="B3" s="59" t="s">
        <v>137</v>
      </c>
      <c r="C3" s="60">
        <v>0.5357</v>
      </c>
      <c r="D3" s="60">
        <v>0.5357</v>
      </c>
      <c r="E3" s="60">
        <v>0.5357</v>
      </c>
      <c r="F3" s="60">
        <v>0.5357</v>
      </c>
      <c r="G3" s="60">
        <v>0.5357</v>
      </c>
      <c r="H3" s="60">
        <v>0.5357</v>
      </c>
      <c r="I3" s="60">
        <v>0.5356</v>
      </c>
      <c r="J3" s="60">
        <v>0.5356</v>
      </c>
      <c r="K3" s="60">
        <v>0.5109</v>
      </c>
    </row>
    <row r="4" ht="15.75" customHeight="1">
      <c r="B4" s="61" t="s">
        <v>138</v>
      </c>
      <c r="C4" s="62"/>
      <c r="D4" s="62"/>
      <c r="E4" s="62"/>
      <c r="F4" s="62"/>
      <c r="G4" s="62"/>
      <c r="H4" s="62">
        <v>53.56</v>
      </c>
      <c r="I4" s="62">
        <v>53.56</v>
      </c>
      <c r="J4" s="62">
        <v>53.56</v>
      </c>
      <c r="K4" s="62"/>
      <c r="N4" s="63"/>
      <c r="O4" s="63"/>
    </row>
    <row r="5" ht="15.75" customHeight="1">
      <c r="B5" s="61" t="s">
        <v>139</v>
      </c>
      <c r="C5" s="62">
        <v>53.56</v>
      </c>
      <c r="D5" s="62">
        <v>53.56</v>
      </c>
      <c r="E5" s="62">
        <v>53.56</v>
      </c>
      <c r="F5" s="62">
        <v>53.56</v>
      </c>
      <c r="G5" s="62"/>
      <c r="H5" s="62"/>
      <c r="I5" s="62"/>
      <c r="J5" s="62"/>
      <c r="K5" s="62"/>
      <c r="M5" s="64"/>
      <c r="N5" s="64"/>
      <c r="O5" s="64"/>
    </row>
    <row r="6" ht="15.75" customHeight="1">
      <c r="B6" s="61" t="s">
        <v>140</v>
      </c>
      <c r="C6" s="62"/>
      <c r="D6" s="62"/>
      <c r="E6" s="62"/>
      <c r="F6" s="62"/>
      <c r="G6" s="62">
        <v>53.56</v>
      </c>
      <c r="H6" s="62"/>
      <c r="I6" s="62"/>
      <c r="J6" s="62"/>
      <c r="K6" s="62"/>
      <c r="M6" s="65"/>
      <c r="N6" s="65"/>
      <c r="O6" s="65"/>
    </row>
    <row r="7" ht="15.75" customHeight="1">
      <c r="B7" s="61" t="s">
        <v>141</v>
      </c>
      <c r="C7" s="62"/>
      <c r="D7" s="62"/>
      <c r="E7" s="62"/>
      <c r="F7" s="62"/>
      <c r="G7" s="62"/>
      <c r="H7" s="62"/>
      <c r="I7" s="62"/>
      <c r="J7" s="62"/>
      <c r="K7" s="62">
        <v>51.09</v>
      </c>
      <c r="M7" s="65"/>
      <c r="N7" s="65"/>
      <c r="O7" s="65"/>
    </row>
    <row r="8" ht="15.75" customHeight="1">
      <c r="B8" s="61" t="s">
        <v>142</v>
      </c>
      <c r="C8" s="62">
        <v>0.0</v>
      </c>
      <c r="D8" s="62">
        <v>0.0</v>
      </c>
      <c r="E8" s="62">
        <v>0.0</v>
      </c>
      <c r="F8" s="62">
        <v>0.0</v>
      </c>
      <c r="G8" s="62">
        <v>0.0</v>
      </c>
      <c r="H8" s="62">
        <v>0.0</v>
      </c>
      <c r="I8" s="62">
        <v>0.0</v>
      </c>
      <c r="J8" s="62">
        <v>0.0</v>
      </c>
      <c r="K8" s="62">
        <v>0.0</v>
      </c>
      <c r="M8" s="65"/>
      <c r="N8" s="65"/>
      <c r="O8" s="65"/>
    </row>
    <row r="9" ht="15.75" customHeight="1">
      <c r="B9" s="61" t="s">
        <v>143</v>
      </c>
      <c r="C9" s="62">
        <v>0.0</v>
      </c>
      <c r="D9" s="62">
        <v>0.0</v>
      </c>
      <c r="E9" s="62">
        <v>0.0</v>
      </c>
      <c r="F9" s="62">
        <v>0.0</v>
      </c>
      <c r="G9" s="62">
        <v>0.0</v>
      </c>
      <c r="H9" s="62">
        <v>0.0</v>
      </c>
      <c r="I9" s="62">
        <v>0.0</v>
      </c>
      <c r="J9" s="62">
        <v>0.0</v>
      </c>
      <c r="K9" s="62">
        <v>0.0</v>
      </c>
      <c r="M9" s="65"/>
      <c r="N9" s="65"/>
      <c r="O9" s="65"/>
    </row>
    <row r="10" ht="15.75" customHeight="1">
      <c r="B10" s="61" t="s">
        <v>144</v>
      </c>
      <c r="C10" s="62">
        <v>0.0</v>
      </c>
      <c r="D10" s="62">
        <v>0.0</v>
      </c>
      <c r="E10" s="62">
        <v>0.0</v>
      </c>
      <c r="F10" s="62">
        <v>0.0</v>
      </c>
      <c r="G10" s="62">
        <v>0.0</v>
      </c>
      <c r="H10" s="62">
        <v>0.0</v>
      </c>
      <c r="I10" s="62">
        <v>0.0</v>
      </c>
      <c r="J10" s="62">
        <v>0.0</v>
      </c>
      <c r="K10" s="62">
        <v>0.0</v>
      </c>
      <c r="M10" s="65"/>
      <c r="N10" s="65"/>
      <c r="O10" s="65"/>
    </row>
    <row r="11" ht="15.75" customHeight="1">
      <c r="B11" s="61" t="s">
        <v>145</v>
      </c>
      <c r="C11" s="62"/>
      <c r="D11" s="62"/>
      <c r="E11" s="62"/>
      <c r="F11" s="62"/>
      <c r="G11" s="62"/>
      <c r="H11" s="62"/>
      <c r="I11" s="62"/>
      <c r="J11" s="62">
        <v>0.0</v>
      </c>
      <c r="K11" s="62">
        <v>0.0</v>
      </c>
      <c r="M11" s="64"/>
      <c r="N11" s="64"/>
      <c r="O11" s="64"/>
    </row>
    <row r="12" ht="15.75" customHeight="1">
      <c r="B12" s="61" t="s">
        <v>146</v>
      </c>
      <c r="C12" s="62"/>
      <c r="D12" s="62"/>
      <c r="E12" s="62"/>
      <c r="F12" s="62"/>
      <c r="G12" s="62"/>
      <c r="H12" s="62"/>
      <c r="I12" s="62"/>
      <c r="J12" s="62">
        <v>0.0</v>
      </c>
      <c r="K12" s="62">
        <v>0.0</v>
      </c>
      <c r="M12" s="64"/>
      <c r="N12" s="64"/>
      <c r="O12" s="64"/>
    </row>
    <row r="13" ht="15.75" customHeight="1">
      <c r="B13" s="61" t="s">
        <v>147</v>
      </c>
      <c r="C13" s="62"/>
      <c r="D13" s="62"/>
      <c r="E13" s="62"/>
      <c r="F13" s="62"/>
      <c r="G13" s="62"/>
      <c r="H13" s="62"/>
      <c r="I13" s="62"/>
      <c r="J13" s="62">
        <v>0.0</v>
      </c>
      <c r="K13" s="62">
        <v>0.0</v>
      </c>
      <c r="M13" s="65"/>
      <c r="N13" s="65"/>
      <c r="O13" s="65"/>
    </row>
    <row r="14" ht="15.75" customHeight="1">
      <c r="B14" s="61" t="s">
        <v>148</v>
      </c>
      <c r="C14" s="62"/>
      <c r="D14" s="62"/>
      <c r="E14" s="62"/>
      <c r="F14" s="62"/>
      <c r="G14" s="62"/>
      <c r="H14" s="62"/>
      <c r="I14" s="62"/>
      <c r="J14" s="62">
        <v>0.0</v>
      </c>
      <c r="K14" s="62">
        <v>0.0</v>
      </c>
      <c r="M14" s="65"/>
      <c r="N14" s="65"/>
      <c r="O14" s="65"/>
    </row>
    <row r="15" ht="15.75" customHeight="1">
      <c r="B15" s="59" t="s">
        <v>149</v>
      </c>
      <c r="C15" s="66">
        <v>0.0677</v>
      </c>
      <c r="D15" s="66">
        <v>0.0587</v>
      </c>
      <c r="E15" s="66">
        <v>0.0781</v>
      </c>
      <c r="F15" s="66">
        <v>0.0875</v>
      </c>
      <c r="G15" s="66">
        <v>0.0845</v>
      </c>
      <c r="H15" s="66">
        <v>0.0686</v>
      </c>
      <c r="I15" s="66">
        <v>0.063</v>
      </c>
      <c r="J15" s="66">
        <v>0.064</v>
      </c>
      <c r="K15" s="66">
        <v>0.0943</v>
      </c>
      <c r="M15" s="65"/>
      <c r="N15" s="65"/>
      <c r="O15" s="65"/>
    </row>
    <row r="16" ht="15.75" customHeight="1">
      <c r="B16" s="59" t="s">
        <v>150</v>
      </c>
      <c r="C16" s="60">
        <v>0.1631</v>
      </c>
      <c r="D16" s="60">
        <v>0.1789</v>
      </c>
      <c r="E16" s="60">
        <v>0.1594</v>
      </c>
      <c r="F16" s="60">
        <v>0.181</v>
      </c>
      <c r="G16" s="60">
        <v>0.1877</v>
      </c>
      <c r="H16" s="60">
        <v>0.2091</v>
      </c>
      <c r="I16" s="60">
        <v>0.2163</v>
      </c>
      <c r="J16" s="60">
        <v>0.2147</v>
      </c>
      <c r="K16" s="60">
        <v>0.219</v>
      </c>
      <c r="M16" s="65"/>
      <c r="N16" s="65"/>
      <c r="O16" s="65"/>
    </row>
    <row r="17" ht="15.75" customHeight="1">
      <c r="B17" s="61" t="s">
        <v>151</v>
      </c>
      <c r="C17" s="62"/>
      <c r="D17" s="62"/>
      <c r="E17" s="62"/>
      <c r="F17" s="62"/>
      <c r="G17" s="62"/>
      <c r="H17" s="62"/>
      <c r="I17" s="62"/>
      <c r="J17" s="62"/>
      <c r="K17" s="62">
        <v>7.95</v>
      </c>
      <c r="M17" s="65"/>
      <c r="N17" s="65"/>
      <c r="O17" s="65"/>
    </row>
    <row r="18" ht="15.75" customHeight="1">
      <c r="B18" s="61" t="s">
        <v>152</v>
      </c>
      <c r="C18" s="62"/>
      <c r="D18" s="62"/>
      <c r="E18" s="62"/>
      <c r="F18" s="62"/>
      <c r="G18" s="62"/>
      <c r="H18" s="62"/>
      <c r="I18" s="62"/>
      <c r="J18" s="62">
        <v>7.18</v>
      </c>
      <c r="K18" s="62"/>
      <c r="M18" s="65"/>
      <c r="N18" s="65"/>
      <c r="O18" s="65"/>
    </row>
    <row r="19" ht="15.75" customHeight="1">
      <c r="B19" s="61" t="s">
        <v>153</v>
      </c>
      <c r="C19" s="62">
        <v>2.89</v>
      </c>
      <c r="D19" s="62">
        <v>4.71</v>
      </c>
      <c r="E19" s="62">
        <v>6.4</v>
      </c>
      <c r="F19" s="62">
        <v>6.15</v>
      </c>
      <c r="G19" s="62">
        <v>7.82</v>
      </c>
      <c r="H19" s="62">
        <v>8.5</v>
      </c>
      <c r="I19" s="62">
        <v>8.67</v>
      </c>
      <c r="J19" s="62"/>
      <c r="K19" s="62"/>
      <c r="M19" s="65"/>
      <c r="N19" s="65"/>
      <c r="O19" s="65"/>
    </row>
    <row r="20" ht="15.75" customHeight="1">
      <c r="B20" s="61" t="s">
        <v>154</v>
      </c>
      <c r="C20" s="62"/>
      <c r="D20" s="62"/>
      <c r="E20" s="62"/>
      <c r="F20" s="62"/>
      <c r="G20" s="62"/>
      <c r="H20" s="62"/>
      <c r="I20" s="62"/>
      <c r="J20" s="62">
        <v>6.21</v>
      </c>
      <c r="K20" s="62"/>
      <c r="M20" s="64"/>
      <c r="N20" s="64"/>
      <c r="O20" s="64"/>
    </row>
    <row r="21" ht="15.75" customHeight="1">
      <c r="B21" s="61" t="s">
        <v>155</v>
      </c>
      <c r="C21" s="62">
        <v>6.22</v>
      </c>
      <c r="D21" s="62">
        <v>5.92</v>
      </c>
      <c r="E21" s="62">
        <v>3.11</v>
      </c>
      <c r="F21" s="62"/>
      <c r="G21" s="62"/>
      <c r="H21" s="62">
        <v>4.55</v>
      </c>
      <c r="I21" s="62">
        <v>4.1</v>
      </c>
      <c r="J21" s="62">
        <v>3.49</v>
      </c>
      <c r="K21" s="62">
        <v>2.82</v>
      </c>
      <c r="M21" s="64"/>
      <c r="N21" s="64"/>
      <c r="O21" s="64"/>
    </row>
    <row r="22" ht="15.75" customHeight="1">
      <c r="B22" s="61" t="s">
        <v>156</v>
      </c>
      <c r="C22" s="62"/>
      <c r="D22" s="62"/>
      <c r="E22" s="62"/>
      <c r="F22" s="62">
        <v>3.05</v>
      </c>
      <c r="G22" s="62">
        <v>4.64</v>
      </c>
      <c r="H22" s="62">
        <v>3.62</v>
      </c>
      <c r="I22" s="62">
        <v>5.26</v>
      </c>
      <c r="J22" s="62"/>
      <c r="K22" s="62"/>
      <c r="M22" s="40"/>
      <c r="N22" s="40"/>
      <c r="O22" s="40"/>
    </row>
    <row r="23" ht="15.75" customHeight="1">
      <c r="B23" s="61" t="s">
        <v>157</v>
      </c>
      <c r="C23" s="62"/>
      <c r="D23" s="62"/>
      <c r="E23" s="62"/>
      <c r="F23" s="62"/>
      <c r="G23" s="62"/>
      <c r="H23" s="62"/>
      <c r="I23" s="62"/>
      <c r="J23" s="62"/>
      <c r="K23" s="62">
        <v>3.92</v>
      </c>
    </row>
    <row r="24" ht="15.75" customHeight="1">
      <c r="B24" s="61" t="s">
        <v>158</v>
      </c>
      <c r="C24" s="62"/>
      <c r="D24" s="62">
        <v>2.23</v>
      </c>
      <c r="E24" s="62">
        <v>2.44</v>
      </c>
      <c r="F24" s="62"/>
      <c r="G24" s="62"/>
      <c r="H24" s="62"/>
      <c r="I24" s="62"/>
      <c r="J24" s="62"/>
      <c r="K24" s="62"/>
    </row>
    <row r="25" ht="15.75" customHeight="1">
      <c r="B25" s="61" t="s">
        <v>159</v>
      </c>
      <c r="C25" s="62"/>
      <c r="D25" s="62"/>
      <c r="E25" s="62"/>
      <c r="F25" s="62">
        <v>1.84</v>
      </c>
      <c r="G25" s="62"/>
      <c r="H25" s="62"/>
      <c r="I25" s="62"/>
      <c r="J25" s="62"/>
      <c r="K25" s="62"/>
    </row>
    <row r="26" ht="15.75" customHeight="1">
      <c r="B26" s="61" t="s">
        <v>160</v>
      </c>
      <c r="C26" s="62"/>
      <c r="D26" s="62"/>
      <c r="E26" s="62">
        <v>1.66</v>
      </c>
      <c r="F26" s="62"/>
      <c r="G26" s="62"/>
      <c r="H26" s="62"/>
      <c r="I26" s="62"/>
      <c r="J26" s="62"/>
      <c r="K26" s="62"/>
    </row>
    <row r="27" ht="15.75" customHeight="1">
      <c r="B27" s="61" t="s">
        <v>161</v>
      </c>
      <c r="C27" s="62"/>
      <c r="D27" s="62"/>
      <c r="E27" s="62"/>
      <c r="F27" s="62">
        <v>1.8</v>
      </c>
      <c r="G27" s="62">
        <v>1.78</v>
      </c>
      <c r="H27" s="62">
        <v>1.05</v>
      </c>
      <c r="I27" s="62">
        <v>1.12</v>
      </c>
      <c r="J27" s="62">
        <v>1.37</v>
      </c>
      <c r="K27" s="62"/>
    </row>
    <row r="28" ht="15.75" customHeight="1">
      <c r="B28" s="61" t="s">
        <v>162</v>
      </c>
      <c r="C28" s="62">
        <v>1.54</v>
      </c>
      <c r="D28" s="62">
        <v>1.27</v>
      </c>
      <c r="E28" s="62"/>
      <c r="F28" s="62"/>
      <c r="G28" s="62"/>
      <c r="H28" s="62"/>
      <c r="I28" s="62"/>
      <c r="J28" s="62"/>
      <c r="K28" s="62"/>
    </row>
    <row r="29" ht="15.75" customHeight="1">
      <c r="B29" s="61" t="s">
        <v>163</v>
      </c>
      <c r="C29" s="62">
        <v>1.59</v>
      </c>
      <c r="D29" s="62">
        <v>1.06</v>
      </c>
      <c r="E29" s="62"/>
      <c r="F29" s="62"/>
      <c r="G29" s="62"/>
      <c r="H29" s="62"/>
      <c r="I29" s="62"/>
      <c r="J29" s="62"/>
      <c r="K29" s="62"/>
    </row>
    <row r="30" ht="15.75" customHeight="1">
      <c r="B30" s="61" t="s">
        <v>164</v>
      </c>
      <c r="C30" s="62"/>
      <c r="D30" s="62"/>
      <c r="E30" s="62"/>
      <c r="F30" s="62">
        <v>1.18</v>
      </c>
      <c r="G30" s="62"/>
      <c r="H30" s="62"/>
      <c r="I30" s="62"/>
      <c r="J30" s="62"/>
      <c r="K30" s="62"/>
    </row>
    <row r="31" ht="15.75" customHeight="1">
      <c r="B31" s="61" t="s">
        <v>165</v>
      </c>
      <c r="C31" s="62"/>
      <c r="D31" s="62">
        <v>1.13</v>
      </c>
      <c r="E31" s="62"/>
      <c r="F31" s="62"/>
      <c r="G31" s="62"/>
      <c r="H31" s="62"/>
      <c r="I31" s="62"/>
      <c r="J31" s="62"/>
      <c r="K31" s="62"/>
    </row>
    <row r="32" ht="15.75" customHeight="1">
      <c r="B32" s="59" t="s">
        <v>166</v>
      </c>
      <c r="C32" s="66">
        <v>0.0147</v>
      </c>
      <c r="D32" s="66">
        <v>0.0173</v>
      </c>
      <c r="E32" s="66">
        <v>0.0147</v>
      </c>
      <c r="F32" s="66">
        <v>0.0147</v>
      </c>
      <c r="G32" s="66">
        <v>0.0147</v>
      </c>
      <c r="H32" s="66">
        <v>0.0147</v>
      </c>
      <c r="I32" s="66">
        <v>0.0147</v>
      </c>
      <c r="J32" s="66">
        <v>0.0147</v>
      </c>
      <c r="K32" s="66">
        <v>0.0835</v>
      </c>
    </row>
    <row r="33" ht="15.75" customHeight="1">
      <c r="B33" s="59" t="s">
        <v>167</v>
      </c>
      <c r="C33" s="60">
        <v>0.2188</v>
      </c>
      <c r="D33" s="60">
        <v>0.2094</v>
      </c>
      <c r="E33" s="60">
        <v>0.2121</v>
      </c>
      <c r="F33" s="60">
        <v>0.1811</v>
      </c>
      <c r="G33" s="60">
        <v>0.1775</v>
      </c>
      <c r="H33" s="60">
        <v>0.172</v>
      </c>
      <c r="I33" s="60">
        <v>0.1702</v>
      </c>
      <c r="J33" s="60">
        <v>0.171</v>
      </c>
      <c r="K33" s="60">
        <v>0.0925</v>
      </c>
    </row>
    <row r="34" ht="15.75" customHeight="1">
      <c r="B34" s="67" t="s">
        <v>168</v>
      </c>
      <c r="C34" s="68" t="s">
        <v>169</v>
      </c>
      <c r="D34" s="68" t="s">
        <v>170</v>
      </c>
      <c r="E34" s="68" t="s">
        <v>171</v>
      </c>
      <c r="F34" s="68" t="s">
        <v>172</v>
      </c>
      <c r="G34" s="68" t="s">
        <v>173</v>
      </c>
      <c r="H34" s="68" t="s">
        <v>174</v>
      </c>
      <c r="I34" s="68" t="s">
        <v>175</v>
      </c>
      <c r="J34" s="68" t="s">
        <v>176</v>
      </c>
      <c r="K34" s="68" t="s">
        <v>177</v>
      </c>
    </row>
    <row r="35" ht="15.75" customHeight="1"/>
    <row r="36" ht="15.75" customHeight="1"/>
    <row r="37" ht="15.75" customHeight="1">
      <c r="C37" s="69"/>
      <c r="D37" s="65"/>
      <c r="E37" s="65"/>
      <c r="F37" s="65"/>
      <c r="G37" s="65"/>
      <c r="H37" s="65"/>
      <c r="I37" s="65"/>
      <c r="J37" s="65"/>
      <c r="K37" s="65"/>
      <c r="L37" s="65"/>
    </row>
    <row r="38" ht="15.75" customHeight="1">
      <c r="C38" s="69"/>
    </row>
    <row r="39" ht="15.75" customHeight="1">
      <c r="C39" s="69"/>
    </row>
    <row r="40" ht="15.75" customHeight="1">
      <c r="C40" s="69"/>
      <c r="D40" s="65"/>
      <c r="E40" s="65"/>
      <c r="F40" s="65"/>
      <c r="G40" s="65"/>
      <c r="H40" s="65"/>
      <c r="I40" s="65"/>
      <c r="J40" s="65"/>
      <c r="K40" s="65"/>
      <c r="L40" s="65"/>
    </row>
    <row r="41" ht="15.75" customHeight="1">
      <c r="C41" s="69"/>
    </row>
    <row r="42" ht="15.75" customHeight="1">
      <c r="C42" s="69"/>
    </row>
    <row r="43" ht="15.75" customHeight="1">
      <c r="C43" s="69"/>
      <c r="D43" s="65"/>
      <c r="E43" s="65"/>
      <c r="F43" s="65"/>
      <c r="G43" s="65"/>
    </row>
    <row r="44" ht="15.75" customHeight="1">
      <c r="C44" s="69"/>
    </row>
    <row r="45" ht="15.75" customHeight="1">
      <c r="C45" s="69"/>
    </row>
    <row r="46" ht="15.75" customHeight="1">
      <c r="C46" s="69"/>
      <c r="D46" s="65"/>
      <c r="E46" s="65"/>
      <c r="F46" s="65"/>
      <c r="G46" s="65"/>
    </row>
    <row r="47" ht="15.75" customHeight="1">
      <c r="C47" s="69"/>
    </row>
    <row r="48" ht="15.75" customHeight="1">
      <c r="C48" s="69"/>
    </row>
    <row r="49" ht="15.75" customHeight="1">
      <c r="C49" s="65"/>
      <c r="D49" s="64"/>
      <c r="E49" s="64"/>
      <c r="F49" s="64"/>
      <c r="G49" s="64"/>
    </row>
    <row r="50" ht="15.75" customHeight="1">
      <c r="C50" s="69"/>
      <c r="D50" s="65"/>
      <c r="E50" s="65"/>
      <c r="F50" s="65"/>
      <c r="G50" s="65"/>
    </row>
    <row r="51" ht="15.75" customHeight="1">
      <c r="C51" s="69"/>
      <c r="D51" s="65"/>
      <c r="E51" s="65"/>
      <c r="F51" s="65"/>
      <c r="G51" s="65"/>
    </row>
    <row r="52" ht="15.75" customHeight="1">
      <c r="C52" s="69"/>
      <c r="D52" s="65"/>
      <c r="E52" s="65"/>
      <c r="F52" s="65"/>
      <c r="G52" s="65"/>
    </row>
    <row r="53" ht="15.75" customHeight="1">
      <c r="C53" s="69"/>
      <c r="D53" s="65"/>
      <c r="E53" s="65"/>
      <c r="F53" s="65"/>
      <c r="G53" s="65"/>
    </row>
    <row r="54" ht="15.75" customHeight="1">
      <c r="C54" s="69"/>
      <c r="D54" s="65"/>
      <c r="E54" s="65"/>
      <c r="F54" s="65"/>
      <c r="G54" s="65"/>
    </row>
    <row r="55" ht="15.75" customHeight="1">
      <c r="C55" s="69"/>
      <c r="D55" s="65"/>
      <c r="E55" s="65"/>
      <c r="F55" s="65"/>
      <c r="G55" s="65"/>
    </row>
    <row r="56" ht="15.75" customHeight="1">
      <c r="C56" s="65"/>
      <c r="D56" s="64"/>
      <c r="E56" s="64"/>
      <c r="F56" s="64"/>
      <c r="G56" s="64"/>
    </row>
    <row r="57" ht="15.75" customHeight="1">
      <c r="C57" s="69"/>
      <c r="D57" s="65"/>
      <c r="E57" s="65"/>
      <c r="F57" s="65"/>
      <c r="G57" s="65"/>
    </row>
    <row r="58" ht="15.75" customHeight="1">
      <c r="C58" s="69"/>
      <c r="D58" s="65"/>
      <c r="E58" s="65"/>
      <c r="F58" s="65"/>
      <c r="G58" s="65"/>
    </row>
    <row r="59" ht="15.75" customHeight="1">
      <c r="C59" s="69"/>
      <c r="D59" s="65"/>
      <c r="E59" s="65"/>
      <c r="F59" s="65"/>
      <c r="G59" s="65"/>
    </row>
    <row r="60" ht="15.75" customHeight="1">
      <c r="C60" s="69"/>
      <c r="D60" s="65"/>
      <c r="E60" s="65"/>
      <c r="F60" s="65"/>
      <c r="G60" s="65"/>
    </row>
    <row r="61" ht="15.75" customHeight="1">
      <c r="C61" s="69"/>
      <c r="D61" s="65"/>
      <c r="E61" s="65"/>
      <c r="F61" s="65"/>
      <c r="G61" s="65"/>
    </row>
    <row r="62" ht="15.75" customHeight="1">
      <c r="C62" s="69"/>
      <c r="D62" s="65"/>
      <c r="E62" s="65"/>
      <c r="F62" s="65"/>
      <c r="G62" s="65"/>
    </row>
    <row r="63" ht="15.75" customHeight="1">
      <c r="C63" s="69"/>
      <c r="D63" s="65"/>
      <c r="E63" s="65"/>
      <c r="F63" s="65"/>
      <c r="G63" s="65"/>
    </row>
    <row r="64" ht="15.75" customHeight="1">
      <c r="C64" s="69"/>
      <c r="D64" s="65"/>
      <c r="E64" s="65"/>
      <c r="F64" s="65"/>
      <c r="G64" s="65"/>
    </row>
    <row r="65" ht="15.75" customHeight="1">
      <c r="C65" s="69"/>
      <c r="D65" s="65"/>
      <c r="E65" s="65"/>
      <c r="F65" s="65"/>
      <c r="G65" s="65"/>
    </row>
    <row r="66" ht="15.75" customHeight="1">
      <c r="C66" s="69"/>
      <c r="D66" s="65"/>
      <c r="E66" s="65"/>
      <c r="F66" s="65"/>
      <c r="G66" s="65"/>
    </row>
    <row r="67" ht="15.75" customHeight="1">
      <c r="C67" s="69"/>
      <c r="D67" s="65"/>
      <c r="E67" s="65"/>
      <c r="F67" s="65"/>
      <c r="G67" s="65"/>
    </row>
    <row r="68" ht="15.75" customHeight="1">
      <c r="C68" s="69"/>
      <c r="D68" s="65"/>
      <c r="E68" s="65"/>
      <c r="F68" s="65"/>
      <c r="G68" s="65"/>
    </row>
    <row r="69" ht="15.75" customHeight="1">
      <c r="C69" s="69"/>
      <c r="D69" s="65"/>
      <c r="E69" s="65"/>
      <c r="F69" s="65"/>
      <c r="G69" s="65"/>
    </row>
    <row r="70" ht="15.75" customHeight="1">
      <c r="C70" s="69"/>
      <c r="D70" s="65"/>
      <c r="E70" s="65"/>
      <c r="F70" s="65"/>
      <c r="G70" s="65"/>
    </row>
    <row r="71" ht="15.75" customHeight="1">
      <c r="C71" s="69"/>
      <c r="D71" s="65"/>
      <c r="E71" s="65"/>
      <c r="F71" s="65"/>
      <c r="G71" s="65"/>
    </row>
    <row r="72" ht="15.75" customHeight="1">
      <c r="C72" s="65"/>
      <c r="D72" s="64"/>
      <c r="E72" s="64"/>
      <c r="F72" s="64"/>
      <c r="G72" s="64"/>
    </row>
    <row r="73" ht="15.75" customHeight="1">
      <c r="C73" s="65"/>
      <c r="D73" s="64"/>
      <c r="E73" s="64"/>
      <c r="F73" s="64"/>
      <c r="G73" s="64"/>
    </row>
    <row r="74" ht="15.75" customHeight="1">
      <c r="C74" s="65"/>
      <c r="D74" s="40"/>
      <c r="E74" s="40"/>
      <c r="F74" s="40"/>
      <c r="G74" s="40"/>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K37:K39"/>
    <mergeCell ref="L37:L39"/>
    <mergeCell ref="D37:D39"/>
    <mergeCell ref="E37:E39"/>
    <mergeCell ref="F37:F39"/>
    <mergeCell ref="G37:G39"/>
    <mergeCell ref="H37:H39"/>
    <mergeCell ref="I37:I39"/>
    <mergeCell ref="J37:J39"/>
    <mergeCell ref="K40:K42"/>
    <mergeCell ref="L40:L42"/>
    <mergeCell ref="D43:D45"/>
    <mergeCell ref="E43:E45"/>
    <mergeCell ref="F43:F45"/>
    <mergeCell ref="G43:G45"/>
    <mergeCell ref="D46:D48"/>
    <mergeCell ref="E46:E48"/>
    <mergeCell ref="F46:F48"/>
    <mergeCell ref="G46:G48"/>
    <mergeCell ref="D40:D42"/>
    <mergeCell ref="E40:E42"/>
    <mergeCell ref="F40:F42"/>
    <mergeCell ref="G40:G42"/>
    <mergeCell ref="H40:H42"/>
    <mergeCell ref="I40:I42"/>
    <mergeCell ref="J40:J4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7"/>
    <hyperlink r:id="rId13" ref="B18"/>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s>
  <printOptions/>
  <pageMargins bottom="0.75" footer="0.0" header="0.0" left="0.7" right="0.7" top="0.75"/>
  <pageSetup orientation="landscape"/>
  <drawing r:id="rId27"/>
  <tableParts count="1">
    <tablePart r:id="rId2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22"/>
    <col customWidth="1" min="2" max="2" width="32.11"/>
    <col customWidth="1" min="3" max="7" width="12.67"/>
    <col customWidth="1" min="8" max="8" width="13.67"/>
    <col customWidth="1" min="9" max="15" width="12.67"/>
    <col customWidth="1" min="16" max="16" width="41.56"/>
    <col customWidth="1" min="17" max="17" width="17.89"/>
    <col customWidth="1" min="18" max="18" width="0.33"/>
    <col customWidth="1" min="19" max="19" width="134.33"/>
    <col customWidth="1" min="20" max="31" width="12.67"/>
  </cols>
  <sheetData>
    <row r="1" ht="15.75" customHeight="1">
      <c r="B1" s="70"/>
      <c r="C1" s="71">
        <v>41699.0</v>
      </c>
      <c r="D1" s="71">
        <v>42064.0</v>
      </c>
      <c r="E1" s="71">
        <v>42430.0</v>
      </c>
      <c r="F1" s="71">
        <v>42795.0</v>
      </c>
      <c r="G1" s="71">
        <v>43160.0</v>
      </c>
      <c r="H1" s="71">
        <v>43525.0</v>
      </c>
      <c r="I1" s="71">
        <v>43891.0</v>
      </c>
      <c r="J1" s="71">
        <v>44256.0</v>
      </c>
      <c r="K1" s="71">
        <v>44621.0</v>
      </c>
      <c r="L1" s="71">
        <v>44986.0</v>
      </c>
      <c r="M1" s="71">
        <v>45352.0</v>
      </c>
      <c r="N1" s="71">
        <v>45717.0</v>
      </c>
      <c r="O1" s="72" t="s">
        <v>178</v>
      </c>
      <c r="P1" s="73" t="s">
        <v>179</v>
      </c>
      <c r="Q1" s="73" t="s">
        <v>180</v>
      </c>
      <c r="R1" s="74"/>
      <c r="S1" s="73" t="s">
        <v>181</v>
      </c>
    </row>
    <row r="2" ht="15.75" customHeight="1">
      <c r="B2" s="75" t="s">
        <v>182</v>
      </c>
      <c r="C2" s="2"/>
      <c r="D2" s="2"/>
      <c r="E2" s="2"/>
      <c r="F2" s="2"/>
      <c r="G2" s="2"/>
      <c r="H2" s="2"/>
      <c r="I2" s="2"/>
      <c r="J2" s="2"/>
      <c r="K2" s="2"/>
      <c r="L2" s="2"/>
      <c r="M2" s="2"/>
      <c r="N2" s="2"/>
      <c r="O2" s="2"/>
      <c r="P2" s="2"/>
      <c r="Q2" s="2"/>
      <c r="R2" s="2"/>
      <c r="S2" s="3"/>
    </row>
    <row r="3" ht="15.75" customHeight="1">
      <c r="B3" s="76" t="s">
        <v>183</v>
      </c>
      <c r="C3" s="77">
        <f>'Profit and Loss Statement'!C18/'Profit and Loss Statement'!C3</f>
        <v>0.01112933458</v>
      </c>
      <c r="D3" s="77">
        <f>'Profit and Loss Statement'!D18/'Profit and Loss Statement'!D3</f>
        <v>0.07274509804</v>
      </c>
      <c r="E3" s="77">
        <f>'Profit and Loss Statement'!E18/'Profit and Loss Statement'!E3</f>
        <v>0.07732668158</v>
      </c>
      <c r="F3" s="77">
        <f>'Profit and Loss Statement'!F18/'Profit and Loss Statement'!F3</f>
        <v>0.04354399758</v>
      </c>
      <c r="G3" s="77">
        <f>'Profit and Loss Statement'!G18/'Profit and Loss Statement'!G3</f>
        <v>0.08053105075</v>
      </c>
      <c r="H3" s="77">
        <f>'Profit and Loss Statement'!H18/'Profit and Loss Statement'!H3</f>
        <v>0.06850053937</v>
      </c>
      <c r="I3" s="77">
        <f>'Profit and Loss Statement'!I18/'Profit and Loss Statement'!I3</f>
        <v>0.09209938997</v>
      </c>
      <c r="J3" s="77">
        <f>'Profit and Loss Statement'!J18/'Profit and Loss Statement'!J3</f>
        <v>0.1125074297</v>
      </c>
      <c r="K3" s="77">
        <f>'Profit and Loss Statement'!K18/'Profit and Loss Statement'!K3</f>
        <v>0.02989209682</v>
      </c>
      <c r="L3" s="77">
        <f>'Profit and Loss Statement'!L18/'Profit and Loss Statement'!L3</f>
        <v>0.1117009981</v>
      </c>
      <c r="M3" s="77">
        <f>'Profit and Loss Statement'!M18/'Profit and Loss Statement'!M3</f>
        <v>0.09009370146</v>
      </c>
      <c r="N3" s="77">
        <f>'Profit and Loss Statement'!N18/'Profit and Loss Statement'!N3</f>
        <v>0.1301054169</v>
      </c>
      <c r="O3" s="78">
        <v>13.72</v>
      </c>
      <c r="P3" s="79" t="s">
        <v>184</v>
      </c>
      <c r="Q3" s="80">
        <f>AVERAGE(C3:N3)</f>
        <v>0.07668131124</v>
      </c>
      <c r="R3" s="81"/>
      <c r="S3" s="82" t="s">
        <v>185</v>
      </c>
    </row>
    <row r="4" ht="15.75" customHeight="1">
      <c r="B4" s="76"/>
      <c r="C4" s="83" t="s">
        <v>186</v>
      </c>
      <c r="D4" s="84" t="s">
        <v>187</v>
      </c>
      <c r="E4" s="84" t="s">
        <v>187</v>
      </c>
      <c r="F4" s="84" t="s">
        <v>186</v>
      </c>
      <c r="G4" s="84" t="s">
        <v>187</v>
      </c>
      <c r="H4" s="84" t="s">
        <v>187</v>
      </c>
      <c r="I4" s="84" t="s">
        <v>187</v>
      </c>
      <c r="J4" s="84" t="s">
        <v>188</v>
      </c>
      <c r="K4" s="84" t="s">
        <v>186</v>
      </c>
      <c r="L4" s="84" t="s">
        <v>188</v>
      </c>
      <c r="M4" s="84" t="s">
        <v>187</v>
      </c>
      <c r="N4" s="84" t="s">
        <v>188</v>
      </c>
      <c r="O4" s="85"/>
      <c r="P4" s="86"/>
      <c r="Q4" s="86"/>
      <c r="R4" s="81"/>
      <c r="S4" s="86"/>
    </row>
    <row r="5" ht="15.75" customHeight="1">
      <c r="B5" s="76" t="s">
        <v>189</v>
      </c>
      <c r="C5" s="77">
        <f>'Profit and Loss Statement'!C10</f>
        <v>0.14</v>
      </c>
      <c r="D5" s="77">
        <f>'Profit and Loss Statement'!D10</f>
        <v>0.2</v>
      </c>
      <c r="E5" s="77">
        <f>'Profit and Loss Statement'!E10</f>
        <v>0.25</v>
      </c>
      <c r="F5" s="77">
        <f>'Profit and Loss Statement'!F10</f>
        <v>0.25</v>
      </c>
      <c r="G5" s="77">
        <f>'Profit and Loss Statement'!G10</f>
        <v>0.27</v>
      </c>
      <c r="H5" s="77">
        <f>'Profit and Loss Statement'!H10</f>
        <v>0.24</v>
      </c>
      <c r="I5" s="77">
        <f>'Profit and Loss Statement'!I10</f>
        <v>0.26</v>
      </c>
      <c r="J5" s="77">
        <f>'Profit and Loss Statement'!J10</f>
        <v>0.28</v>
      </c>
      <c r="K5" s="77">
        <f>'Profit and Loss Statement'!K10</f>
        <v>0.24</v>
      </c>
      <c r="L5" s="77">
        <f>'Profit and Loss Statement'!L10</f>
        <v>0.23</v>
      </c>
      <c r="M5" s="77">
        <f>'Profit and Loss Statement'!M10</f>
        <v>0.19</v>
      </c>
      <c r="N5" s="77">
        <f>'Profit and Loss Statement'!N10</f>
        <v>0.2</v>
      </c>
      <c r="O5" s="87">
        <v>0.2973</v>
      </c>
      <c r="P5" s="79" t="s">
        <v>190</v>
      </c>
      <c r="Q5" s="80">
        <f>AVERAGE(C5:N5)</f>
        <v>0.2291666667</v>
      </c>
      <c r="R5" s="81"/>
      <c r="S5" s="82" t="s">
        <v>191</v>
      </c>
    </row>
    <row r="6" ht="15.75" customHeight="1">
      <c r="B6" s="76"/>
      <c r="C6" s="84" t="s">
        <v>186</v>
      </c>
      <c r="D6" s="84" t="s">
        <v>187</v>
      </c>
      <c r="E6" s="84" t="s">
        <v>187</v>
      </c>
      <c r="F6" s="84" t="s">
        <v>187</v>
      </c>
      <c r="G6" s="84" t="s">
        <v>187</v>
      </c>
      <c r="H6" s="84" t="s">
        <v>187</v>
      </c>
      <c r="I6" s="84" t="s">
        <v>187</v>
      </c>
      <c r="J6" s="84" t="s">
        <v>187</v>
      </c>
      <c r="K6" s="84" t="s">
        <v>187</v>
      </c>
      <c r="L6" s="84" t="s">
        <v>187</v>
      </c>
      <c r="M6" s="84" t="s">
        <v>187</v>
      </c>
      <c r="N6" s="84" t="s">
        <v>187</v>
      </c>
      <c r="O6" s="85"/>
      <c r="P6" s="86"/>
      <c r="Q6" s="86"/>
      <c r="R6" s="81"/>
      <c r="S6" s="86"/>
    </row>
    <row r="7" ht="15.75" customHeight="1">
      <c r="B7" s="76" t="s">
        <v>192</v>
      </c>
      <c r="C7" s="77">
        <f>'Profit and Loss Statement'!C18/'Balance Sheet'!C36</f>
        <v>0.006211586243</v>
      </c>
      <c r="D7" s="77">
        <f>'Profit and Loss Statement'!D18/'Balance Sheet'!D36</f>
        <v>0.04679616549</v>
      </c>
      <c r="E7" s="77">
        <f>'Profit and Loss Statement'!E18/'Balance Sheet'!E36</f>
        <v>0.04610019999</v>
      </c>
      <c r="F7" s="77">
        <f>'Profit and Loss Statement'!F18/'Balance Sheet'!F36</f>
        <v>0.02095561484</v>
      </c>
      <c r="G7" s="77">
        <f>'Profit and Loss Statement'!G18/'Balance Sheet'!G36</f>
        <v>0.04171568184</v>
      </c>
      <c r="H7" s="77">
        <f>'Profit and Loss Statement'!H18/'Balance Sheet'!H36</f>
        <v>0.03731374607</v>
      </c>
      <c r="I7" s="77">
        <f>'Profit and Loss Statement'!I18/'Balance Sheet'!I36</f>
        <v>0.05410839161</v>
      </c>
      <c r="J7" s="77">
        <f>'Profit and Loss Statement'!J18/'Balance Sheet'!J36</f>
        <v>0.05817016419</v>
      </c>
      <c r="K7" s="77">
        <f>'Profit and Loss Statement'!K18/'Balance Sheet'!K36</f>
        <v>0.01736920144</v>
      </c>
      <c r="L7" s="77">
        <f>'Profit and Loss Statement'!L18/'Balance Sheet'!L36</f>
        <v>0.08096044328</v>
      </c>
      <c r="M7" s="77">
        <f>'Profit and Loss Statement'!M18/'Balance Sheet'!M36</f>
        <v>0.06159432702</v>
      </c>
      <c r="N7" s="77">
        <f>'Profit and Loss Statement'!N18/'Balance Sheet'!N36</f>
        <v>0.09005338134</v>
      </c>
      <c r="O7" s="88">
        <v>0.0262</v>
      </c>
      <c r="P7" s="79" t="s">
        <v>193</v>
      </c>
      <c r="Q7" s="80">
        <f>AVERAGE(C7:N7)</f>
        <v>0.04677907528</v>
      </c>
      <c r="R7" s="89"/>
      <c r="S7" s="82" t="s">
        <v>194</v>
      </c>
      <c r="T7" s="90"/>
    </row>
    <row r="8" ht="15.75" customHeight="1">
      <c r="B8" s="76"/>
      <c r="C8" s="84" t="s">
        <v>186</v>
      </c>
      <c r="D8" s="84" t="s">
        <v>187</v>
      </c>
      <c r="E8" s="84" t="s">
        <v>187</v>
      </c>
      <c r="F8" s="84" t="s">
        <v>186</v>
      </c>
      <c r="G8" s="84" t="s">
        <v>187</v>
      </c>
      <c r="H8" s="84" t="s">
        <v>187</v>
      </c>
      <c r="I8" s="84" t="s">
        <v>188</v>
      </c>
      <c r="J8" s="84" t="s">
        <v>188</v>
      </c>
      <c r="K8" s="84" t="s">
        <v>186</v>
      </c>
      <c r="L8" s="84" t="s">
        <v>188</v>
      </c>
      <c r="M8" s="84" t="s">
        <v>188</v>
      </c>
      <c r="N8" s="84" t="s">
        <v>188</v>
      </c>
      <c r="O8" s="85"/>
      <c r="P8" s="86"/>
      <c r="Q8" s="86"/>
      <c r="R8" s="81"/>
      <c r="S8" s="86"/>
    </row>
    <row r="9" ht="15.75" customHeight="1">
      <c r="B9" s="76" t="s">
        <v>195</v>
      </c>
      <c r="C9" s="91">
        <f>'Profit and Loss Statement'!C9/('Balance Sheet'!C4+'Balance Sheet'!C3+'Balance Sheet'!C5)</f>
        <v>0.1001217039</v>
      </c>
      <c r="D9" s="91">
        <f>'Profit and Loss Statement'!D9/('Balance Sheet'!D4+'Balance Sheet'!D3+'Balance Sheet'!D5)</f>
        <v>0.16407434</v>
      </c>
      <c r="E9" s="91">
        <f>'Profit and Loss Statement'!E9/('Balance Sheet'!E4+'Balance Sheet'!E3+'Balance Sheet'!E5)</f>
        <v>0.1987071578</v>
      </c>
      <c r="F9" s="91">
        <f>'Profit and Loss Statement'!F9/('Balance Sheet'!F4+'Balance Sheet'!F3+'Balance Sheet'!F5)</f>
        <v>0.156903093</v>
      </c>
      <c r="G9" s="91">
        <f>'Profit and Loss Statement'!G9/('Balance Sheet'!G4+'Balance Sheet'!G3+'Balance Sheet'!G5)</f>
        <v>0.1821515169</v>
      </c>
      <c r="H9" s="91">
        <f>'Profit and Loss Statement'!H9/('Balance Sheet'!H4+'Balance Sheet'!H3+'Balance Sheet'!H5)</f>
        <v>0.169500914</v>
      </c>
      <c r="I9" s="91">
        <f>'Profit and Loss Statement'!I9/('Balance Sheet'!I4+'Balance Sheet'!I3+'Balance Sheet'!I5)</f>
        <v>0.1962003651</v>
      </c>
      <c r="J9" s="91">
        <f>'Profit and Loss Statement'!J9/('Balance Sheet'!J4+'Balance Sheet'!J3+'Balance Sheet'!J5)</f>
        <v>0.1858812744</v>
      </c>
      <c r="K9" s="91">
        <f>'Profit and Loss Statement'!K9/('Balance Sheet'!K4+'Balance Sheet'!K3+'Balance Sheet'!K5)</f>
        <v>0.1879265973</v>
      </c>
      <c r="L9" s="91">
        <f>'Profit and Loss Statement'!L9/('Balance Sheet'!L4+'Balance Sheet'!L3+'Balance Sheet'!L5)</f>
        <v>0.218714653</v>
      </c>
      <c r="M9" s="91">
        <f>'Profit and Loss Statement'!M9/('Balance Sheet'!M4+'Balance Sheet'!M3+'Balance Sheet'!M5)</f>
        <v>0.1784419042</v>
      </c>
      <c r="N9" s="91">
        <f>'Profit and Loss Statement'!N9/('Balance Sheet'!N4+'Balance Sheet'!N3+'Balance Sheet'!N5)</f>
        <v>0.1827294078</v>
      </c>
      <c r="O9" s="92">
        <v>0.0869</v>
      </c>
      <c r="P9" s="79" t="s">
        <v>196</v>
      </c>
      <c r="Q9" s="80">
        <f>AVERAGE(C9:N9)</f>
        <v>0.1767794106</v>
      </c>
      <c r="R9" s="81"/>
      <c r="S9" s="82" t="s">
        <v>197</v>
      </c>
    </row>
    <row r="10" ht="15.75" customHeight="1">
      <c r="B10" s="76"/>
      <c r="C10" s="82" t="s">
        <v>187</v>
      </c>
      <c r="D10" s="82" t="s">
        <v>187</v>
      </c>
      <c r="E10" s="82" t="s">
        <v>188</v>
      </c>
      <c r="F10" s="82" t="s">
        <v>187</v>
      </c>
      <c r="G10" s="82" t="s">
        <v>188</v>
      </c>
      <c r="H10" s="82" t="s">
        <v>187</v>
      </c>
      <c r="I10" s="82" t="s">
        <v>188</v>
      </c>
      <c r="J10" s="82" t="s">
        <v>188</v>
      </c>
      <c r="K10" s="82" t="s">
        <v>188</v>
      </c>
      <c r="L10" s="82" t="s">
        <v>188</v>
      </c>
      <c r="M10" s="82" t="s">
        <v>187</v>
      </c>
      <c r="N10" s="82" t="s">
        <v>188</v>
      </c>
      <c r="O10" s="93"/>
      <c r="P10" s="86"/>
      <c r="Q10" s="86"/>
      <c r="R10" s="81"/>
      <c r="S10" s="86"/>
    </row>
    <row r="11" ht="15.75" customHeight="1">
      <c r="A11" s="94"/>
      <c r="B11" s="76" t="s">
        <v>198</v>
      </c>
      <c r="C11" s="95">
        <f>'Profit and Loss Statement'!C18/('Balance Sheet'!C3+'Balance Sheet'!C4)</f>
        <v>0.01538212435</v>
      </c>
      <c r="D11" s="95">
        <f>'Profit and Loss Statement'!D18/('Balance Sheet'!D3+'Balance Sheet'!D4)</f>
        <v>0.1074116966</v>
      </c>
      <c r="E11" s="95">
        <f>'Profit and Loss Statement'!E18/('Balance Sheet'!E3+'Balance Sheet'!E4)</f>
        <v>0.1391856325</v>
      </c>
      <c r="F11" s="95">
        <f>'Profit and Loss Statement'!F18/('Balance Sheet'!F3+'Balance Sheet'!F4)</f>
        <v>0.06274509804</v>
      </c>
      <c r="G11" s="95">
        <f>'Profit and Loss Statement'!G18/('Balance Sheet'!G3+'Balance Sheet'!G4)</f>
        <v>0.1198492136</v>
      </c>
      <c r="H11" s="95">
        <f>'Profit and Loss Statement'!H18/('Balance Sheet'!H3+'Balance Sheet'!H4)</f>
        <v>0.09947409645</v>
      </c>
      <c r="I11" s="95">
        <f>'Profit and Loss Statement'!I18/('Balance Sheet'!I3+'Balance Sheet'!I4)</f>
        <v>0.1347409665</v>
      </c>
      <c r="J11" s="95">
        <f>'Profit and Loss Statement'!J18/('Balance Sheet'!J3+'Balance Sheet'!J4)</f>
        <v>0.1292430745</v>
      </c>
      <c r="K11" s="95">
        <f>'Profit and Loss Statement'!K18/('Balance Sheet'!K3+'Balance Sheet'!K4)</f>
        <v>0.04113987558</v>
      </c>
      <c r="L11" s="95">
        <f>'Profit and Loss Statement'!L18/('Balance Sheet'!L3+'Balance Sheet'!L4)</f>
        <v>0.1909255898</v>
      </c>
      <c r="M11" s="95">
        <f>'Profit and Loss Statement'!M18/('Balance Sheet'!M3+'Balance Sheet'!M4)</f>
        <v>0.1493479525</v>
      </c>
      <c r="N11" s="95">
        <f>'Profit and Loss Statement'!N18/('Balance Sheet'!N3+'Balance Sheet'!N4)</f>
        <v>0.1633249313</v>
      </c>
      <c r="O11" s="88">
        <v>0.0746</v>
      </c>
      <c r="P11" s="96" t="s">
        <v>199</v>
      </c>
      <c r="Q11" s="80">
        <f>AVERAGE(C11:N11)</f>
        <v>0.1127308543</v>
      </c>
      <c r="R11" s="97"/>
      <c r="S11" s="82" t="s">
        <v>200</v>
      </c>
      <c r="T11" s="94"/>
      <c r="U11" s="94"/>
      <c r="V11" s="94"/>
      <c r="W11" s="94"/>
      <c r="X11" s="94"/>
      <c r="Y11" s="94"/>
      <c r="Z11" s="94"/>
      <c r="AA11" s="94"/>
      <c r="AB11" s="94"/>
      <c r="AC11" s="94"/>
      <c r="AD11" s="94"/>
      <c r="AE11" s="94"/>
    </row>
    <row r="12" ht="15.75" customHeight="1">
      <c r="B12" s="76"/>
      <c r="C12" s="84" t="s">
        <v>186</v>
      </c>
      <c r="D12" s="84" t="s">
        <v>187</v>
      </c>
      <c r="E12" s="98" t="s">
        <v>188</v>
      </c>
      <c r="F12" s="84" t="s">
        <v>186</v>
      </c>
      <c r="G12" s="98" t="s">
        <v>187</v>
      </c>
      <c r="H12" s="84" t="s">
        <v>187</v>
      </c>
      <c r="I12" s="84" t="s">
        <v>188</v>
      </c>
      <c r="J12" s="84" t="s">
        <v>187</v>
      </c>
      <c r="K12" s="84" t="s">
        <v>186</v>
      </c>
      <c r="L12" s="84" t="s">
        <v>188</v>
      </c>
      <c r="M12" s="84" t="s">
        <v>188</v>
      </c>
      <c r="N12" s="84" t="s">
        <v>188</v>
      </c>
      <c r="O12" s="85"/>
      <c r="P12" s="86"/>
      <c r="Q12" s="86"/>
      <c r="R12" s="81"/>
      <c r="S12" s="86"/>
    </row>
    <row r="13" ht="15.75" customHeight="1">
      <c r="B13" s="76" t="s">
        <v>201</v>
      </c>
      <c r="C13" s="99">
        <f>'Profit and Loss Statement'!C24</f>
        <v>0.25</v>
      </c>
      <c r="D13" s="99">
        <f>'Profit and Loss Statement'!D24</f>
        <v>0.1</v>
      </c>
      <c r="E13" s="99">
        <f>'Profit and Loss Statement'!E24</f>
        <v>0.24</v>
      </c>
      <c r="F13" s="99">
        <f>'Profit and Loss Statement'!F24</f>
        <v>0.24</v>
      </c>
      <c r="G13" s="99">
        <f>'Profit and Loss Statement'!G24</f>
        <v>0.26</v>
      </c>
      <c r="H13" s="99">
        <f>'Profit and Loss Statement'!H24</f>
        <v>0.27</v>
      </c>
      <c r="I13" s="99">
        <f>'Profit and Loss Statement'!I24</f>
        <v>0.45</v>
      </c>
      <c r="J13" s="99">
        <f>'Profit and Loss Statement'!J24</f>
        <v>0.4</v>
      </c>
      <c r="K13" s="99">
        <f>'Profit and Loss Statement'!K24</f>
        <v>1.06</v>
      </c>
      <c r="L13" s="99">
        <f>'Profit and Loss Statement'!L24</f>
        <v>0.59</v>
      </c>
      <c r="M13" s="99">
        <f>'Profit and Loss Statement'!M24</f>
        <v>0.43</v>
      </c>
      <c r="N13" s="99">
        <f>'Profit and Loss Statement'!N24</f>
        <v>0.34</v>
      </c>
      <c r="O13" s="87">
        <v>0.0</v>
      </c>
      <c r="P13" s="79" t="s">
        <v>190</v>
      </c>
      <c r="Q13" s="100">
        <f>AVERAGE(C13:N13)</f>
        <v>0.3858333333</v>
      </c>
      <c r="R13" s="81"/>
      <c r="S13" s="82" t="s">
        <v>202</v>
      </c>
    </row>
    <row r="14" ht="15.75" customHeight="1">
      <c r="B14" s="76"/>
      <c r="C14" s="84" t="s">
        <v>188</v>
      </c>
      <c r="D14" s="84" t="s">
        <v>188</v>
      </c>
      <c r="E14" s="84" t="s">
        <v>188</v>
      </c>
      <c r="F14" s="84" t="s">
        <v>188</v>
      </c>
      <c r="G14" s="84" t="s">
        <v>188</v>
      </c>
      <c r="H14" s="84" t="s">
        <v>188</v>
      </c>
      <c r="I14" s="98" t="s">
        <v>186</v>
      </c>
      <c r="J14" s="98" t="s">
        <v>186</v>
      </c>
      <c r="K14" s="98" t="s">
        <v>186</v>
      </c>
      <c r="L14" s="98" t="s">
        <v>186</v>
      </c>
      <c r="M14" s="98" t="s">
        <v>186</v>
      </c>
      <c r="N14" s="98" t="s">
        <v>187</v>
      </c>
      <c r="O14" s="85"/>
      <c r="P14" s="86"/>
      <c r="Q14" s="86"/>
      <c r="R14" s="81"/>
      <c r="S14" s="86"/>
    </row>
    <row r="15" ht="15.75" customHeight="1">
      <c r="B15" s="76" t="s">
        <v>203</v>
      </c>
      <c r="C15" s="101">
        <f t="shared" ref="C15:N15" si="1">C17/C11</f>
        <v>46.80757895</v>
      </c>
      <c r="D15" s="101">
        <f t="shared" si="1"/>
        <v>10.33407008</v>
      </c>
      <c r="E15" s="101">
        <f t="shared" si="1"/>
        <v>36.49802002</v>
      </c>
      <c r="F15" s="101">
        <f t="shared" si="1"/>
        <v>37.93125</v>
      </c>
      <c r="G15" s="101">
        <f t="shared" si="1"/>
        <v>39.04906725</v>
      </c>
      <c r="H15" s="101">
        <f t="shared" si="1"/>
        <v>103.6450731</v>
      </c>
      <c r="I15" s="101">
        <f t="shared" si="1"/>
        <v>98.85634895</v>
      </c>
      <c r="J15" s="101">
        <f t="shared" si="1"/>
        <v>15.3973434</v>
      </c>
      <c r="K15" s="101">
        <f t="shared" si="1"/>
        <v>57.60834146</v>
      </c>
      <c r="L15" s="101">
        <f t="shared" si="1"/>
        <v>11.62756654</v>
      </c>
      <c r="M15" s="101">
        <f t="shared" si="1"/>
        <v>36.2174366</v>
      </c>
      <c r="N15" s="101">
        <f t="shared" si="1"/>
        <v>26.26665731</v>
      </c>
      <c r="O15" s="102">
        <v>34.8</v>
      </c>
      <c r="P15" s="79" t="s">
        <v>204</v>
      </c>
      <c r="Q15" s="86">
        <f>AVERAGE(C15:N15)</f>
        <v>43.35322947</v>
      </c>
      <c r="R15" s="81"/>
      <c r="S15" s="82" t="s">
        <v>205</v>
      </c>
    </row>
    <row r="16" ht="15.75" customHeight="1">
      <c r="B16" s="76"/>
      <c r="C16" s="84" t="s">
        <v>187</v>
      </c>
      <c r="D16" s="84" t="s">
        <v>187</v>
      </c>
      <c r="E16" s="84" t="s">
        <v>187</v>
      </c>
      <c r="F16" s="84" t="s">
        <v>187</v>
      </c>
      <c r="G16" s="84" t="s">
        <v>187</v>
      </c>
      <c r="H16" s="84" t="s">
        <v>186</v>
      </c>
      <c r="I16" s="84" t="s">
        <v>186</v>
      </c>
      <c r="J16" s="84" t="s">
        <v>187</v>
      </c>
      <c r="K16" s="84" t="s">
        <v>186</v>
      </c>
      <c r="L16" s="84" t="s">
        <v>187</v>
      </c>
      <c r="M16" s="84" t="s">
        <v>186</v>
      </c>
      <c r="N16" s="84" t="s">
        <v>187</v>
      </c>
      <c r="O16" s="85"/>
      <c r="P16" s="86"/>
      <c r="Q16" s="86"/>
      <c r="R16" s="81"/>
      <c r="S16" s="86"/>
    </row>
    <row r="17" ht="15.75" customHeight="1">
      <c r="B17" s="76" t="s">
        <v>206</v>
      </c>
      <c r="C17" s="103">
        <v>0.72</v>
      </c>
      <c r="D17" s="103">
        <v>1.11</v>
      </c>
      <c r="E17" s="103">
        <v>5.08</v>
      </c>
      <c r="F17" s="103">
        <v>2.38</v>
      </c>
      <c r="G17" s="103">
        <v>4.68</v>
      </c>
      <c r="H17" s="103">
        <v>10.31</v>
      </c>
      <c r="I17" s="103">
        <v>13.32</v>
      </c>
      <c r="J17" s="103">
        <v>1.99</v>
      </c>
      <c r="K17" s="103">
        <v>2.37</v>
      </c>
      <c r="L17" s="103">
        <v>2.22</v>
      </c>
      <c r="M17" s="104">
        <v>5.409</v>
      </c>
      <c r="N17" s="103">
        <v>4.29</v>
      </c>
      <c r="O17" s="102">
        <v>2.41</v>
      </c>
      <c r="P17" s="79" t="s">
        <v>190</v>
      </c>
      <c r="Q17" s="86">
        <f>AVERAGE(C17:N17)</f>
        <v>4.489916667</v>
      </c>
      <c r="R17" s="89"/>
      <c r="S17" s="82" t="s">
        <v>207</v>
      </c>
      <c r="T17" s="90"/>
      <c r="U17" s="90"/>
      <c r="V17" s="90"/>
      <c r="W17" s="90"/>
      <c r="X17" s="90"/>
      <c r="Y17" s="90"/>
      <c r="Z17" s="90"/>
    </row>
    <row r="18" ht="15.75" customHeight="1">
      <c r="B18" s="76"/>
      <c r="C18" s="105" t="s">
        <v>186</v>
      </c>
      <c r="D18" s="105" t="s">
        <v>186</v>
      </c>
      <c r="E18" s="105" t="s">
        <v>187</v>
      </c>
      <c r="F18" s="105" t="s">
        <v>187</v>
      </c>
      <c r="G18" s="105" t="s">
        <v>187</v>
      </c>
      <c r="H18" s="105" t="s">
        <v>188</v>
      </c>
      <c r="I18" s="105" t="s">
        <v>188</v>
      </c>
      <c r="J18" s="104" t="s">
        <v>186</v>
      </c>
      <c r="K18" s="105" t="s">
        <v>187</v>
      </c>
      <c r="L18" s="105" t="s">
        <v>187</v>
      </c>
      <c r="M18" s="105" t="s">
        <v>187</v>
      </c>
      <c r="N18" s="105" t="s">
        <v>187</v>
      </c>
      <c r="O18" s="85"/>
      <c r="P18" s="86"/>
      <c r="Q18" s="86"/>
      <c r="R18" s="89"/>
      <c r="S18" s="106"/>
      <c r="T18" s="90"/>
      <c r="U18" s="90"/>
      <c r="V18" s="90"/>
      <c r="W18" s="90"/>
      <c r="X18" s="90"/>
      <c r="Y18" s="90"/>
      <c r="Z18" s="90"/>
      <c r="AB18" s="90"/>
      <c r="AC18" s="90"/>
      <c r="AD18" s="90"/>
      <c r="AE18" s="90"/>
    </row>
    <row r="19" ht="15.75" customHeight="1">
      <c r="B19" s="107"/>
      <c r="C19" s="101"/>
      <c r="D19" s="101"/>
      <c r="E19" s="108"/>
      <c r="F19" s="101"/>
      <c r="G19" s="101"/>
      <c r="H19" s="101"/>
      <c r="I19" s="101"/>
      <c r="J19" s="101"/>
      <c r="K19" s="101"/>
      <c r="L19" s="101"/>
      <c r="M19" s="101"/>
      <c r="N19" s="101"/>
      <c r="O19" s="109"/>
      <c r="P19" s="110"/>
      <c r="Q19" s="81"/>
      <c r="R19" s="89"/>
      <c r="S19" s="89"/>
      <c r="T19" s="90"/>
      <c r="U19" s="90"/>
      <c r="V19" s="90"/>
      <c r="W19" s="90"/>
      <c r="X19" s="90"/>
      <c r="Y19" s="90"/>
      <c r="Z19" s="90"/>
    </row>
    <row r="20" ht="15.75" customHeight="1">
      <c r="B20" s="111" t="s">
        <v>208</v>
      </c>
      <c r="C20" s="2"/>
      <c r="D20" s="2"/>
      <c r="E20" s="2"/>
      <c r="F20" s="2"/>
      <c r="G20" s="2"/>
      <c r="H20" s="2"/>
      <c r="I20" s="2"/>
      <c r="J20" s="2"/>
      <c r="K20" s="2"/>
      <c r="L20" s="2"/>
      <c r="M20" s="2"/>
      <c r="N20" s="2"/>
      <c r="O20" s="2"/>
      <c r="P20" s="2"/>
      <c r="Q20" s="2"/>
      <c r="R20" s="2"/>
      <c r="S20" s="3"/>
    </row>
    <row r="21" ht="15.75" customHeight="1">
      <c r="A21" s="94"/>
      <c r="B21" s="112" t="s">
        <v>209</v>
      </c>
      <c r="C21" s="113">
        <f>(SUM('Balance Sheet'!C30:C34))/SUM('Balance Sheet'!C11:C13)</f>
        <v>1.10074124</v>
      </c>
      <c r="D21" s="113">
        <f>(SUM('Balance Sheet'!D30:D34))/SUM('Balance Sheet'!D11:D13)</f>
        <v>1.184749849</v>
      </c>
      <c r="E21" s="113">
        <f>(SUM('Balance Sheet'!E30:E34))/SUM('Balance Sheet'!E11:E13)</f>
        <v>0.7944086022</v>
      </c>
      <c r="F21" s="113">
        <f>(SUM('Balance Sheet'!F30:F34))/SUM('Balance Sheet'!F11:F13)</f>
        <v>0.5805687204</v>
      </c>
      <c r="G21" s="113">
        <f>(SUM('Balance Sheet'!G30:G34))/SUM('Balance Sheet'!G11:G13)</f>
        <v>0.7538994801</v>
      </c>
      <c r="H21" s="113">
        <f>(SUM('Balance Sheet'!H30:H34))/SUM('Balance Sheet'!H11:H13)</f>
        <v>0.9168399168</v>
      </c>
      <c r="I21" s="113">
        <f>(SUM('Balance Sheet'!I30:I34))/SUM('Balance Sheet'!I11:I13)</f>
        <v>1.027653214</v>
      </c>
      <c r="J21" s="113">
        <f>(SUM('Balance Sheet'!J30:J34))/SUM('Balance Sheet'!J11:J13)</f>
        <v>1.047315058</v>
      </c>
      <c r="K21" s="113">
        <f>(SUM('Balance Sheet'!K30:K34))/SUM('Balance Sheet'!K11:K13)</f>
        <v>1.168760908</v>
      </c>
      <c r="L21" s="113">
        <f>(SUM('Balance Sheet'!L30:L34))/SUM('Balance Sheet'!L11:L13)</f>
        <v>1.089018048</v>
      </c>
      <c r="M21" s="113">
        <f>(SUM('Balance Sheet'!M30:M34))/SUM('Balance Sheet'!M11:M13)</f>
        <v>1.281047516</v>
      </c>
      <c r="N21" s="113">
        <f>(SUM('Balance Sheet'!N30:N34))/SUM('Balance Sheet'!N11:N13)</f>
        <v>1.617163802</v>
      </c>
      <c r="O21" s="102">
        <v>1.27</v>
      </c>
      <c r="P21" s="96" t="s">
        <v>210</v>
      </c>
      <c r="Q21" s="86">
        <f>AVERAGE(C21:N21)</f>
        <v>1.046847196</v>
      </c>
      <c r="R21" s="97"/>
      <c r="S21" s="96" t="s">
        <v>211</v>
      </c>
      <c r="T21" s="94"/>
      <c r="U21" s="94"/>
      <c r="V21" s="94"/>
      <c r="W21" s="94"/>
      <c r="X21" s="94"/>
      <c r="Y21" s="94"/>
      <c r="Z21" s="94"/>
      <c r="AA21" s="94"/>
      <c r="AB21" s="94"/>
      <c r="AC21" s="94"/>
      <c r="AD21" s="94"/>
      <c r="AE21" s="94"/>
    </row>
    <row r="22" ht="15.75" customHeight="1">
      <c r="A22" s="94"/>
      <c r="B22" s="112"/>
      <c r="C22" s="79" t="s">
        <v>187</v>
      </c>
      <c r="D22" s="79" t="s">
        <v>187</v>
      </c>
      <c r="E22" s="79" t="s">
        <v>186</v>
      </c>
      <c r="F22" s="79" t="s">
        <v>186</v>
      </c>
      <c r="G22" s="79" t="s">
        <v>186</v>
      </c>
      <c r="H22" s="79" t="s">
        <v>186</v>
      </c>
      <c r="I22" s="79" t="s">
        <v>187</v>
      </c>
      <c r="J22" s="79" t="s">
        <v>187</v>
      </c>
      <c r="K22" s="79" t="s">
        <v>187</v>
      </c>
      <c r="L22" s="79" t="s">
        <v>187</v>
      </c>
      <c r="M22" s="79" t="s">
        <v>187</v>
      </c>
      <c r="N22" s="79" t="s">
        <v>188</v>
      </c>
      <c r="O22" s="93"/>
      <c r="P22" s="114"/>
      <c r="Q22" s="86"/>
      <c r="R22" s="97"/>
      <c r="S22" s="114"/>
      <c r="T22" s="115"/>
      <c r="U22" s="115"/>
      <c r="V22" s="115"/>
      <c r="W22" s="115"/>
      <c r="X22" s="115"/>
      <c r="Y22" s="115"/>
      <c r="Z22" s="115"/>
      <c r="AA22" s="115"/>
      <c r="AB22" s="115"/>
      <c r="AC22" s="115"/>
      <c r="AD22" s="115"/>
      <c r="AE22" s="115"/>
    </row>
    <row r="23" ht="15.75" customHeight="1">
      <c r="A23" s="94"/>
      <c r="B23" s="112" t="s">
        <v>212</v>
      </c>
      <c r="C23" s="113">
        <f>(SUM('Balance Sheet'!C30:C34)-'Balance Sheet'!C30)/SUM('Balance Sheet'!C11:C13)</f>
        <v>1.005390836</v>
      </c>
      <c r="D23" s="113">
        <f>(SUM('Balance Sheet'!D30:D34)-'Balance Sheet'!D30)/SUM('Balance Sheet'!D11:D13)</f>
        <v>1.108499096</v>
      </c>
      <c r="E23" s="113">
        <f>(SUM('Balance Sheet'!E30:E34)-'Balance Sheet'!E30)/SUM('Balance Sheet'!E11:E13)</f>
        <v>0.7040860215</v>
      </c>
      <c r="F23" s="113">
        <f>(SUM('Balance Sheet'!F30:F34)-'Balance Sheet'!F30)/SUM('Balance Sheet'!F11:F13)</f>
        <v>0.5077014218</v>
      </c>
      <c r="G23" s="113">
        <f>(SUM('Balance Sheet'!G30:G34)-'Balance Sheet'!G30)/SUM('Balance Sheet'!G11:G13)</f>
        <v>0.6664740997</v>
      </c>
      <c r="H23" s="113">
        <f>(SUM('Balance Sheet'!H30:H34)-'Balance Sheet'!H30)/SUM('Balance Sheet'!H11:H13)</f>
        <v>0.8082120582</v>
      </c>
      <c r="I23" s="113">
        <f>(SUM('Balance Sheet'!I30:I34)-'Balance Sheet'!I30)/SUM('Balance Sheet'!I11:I13)</f>
        <v>0.9159192825</v>
      </c>
      <c r="J23" s="113">
        <f>(SUM('Balance Sheet'!J30:J34)-'Balance Sheet'!J30)/SUM('Balance Sheet'!J11:J13)</f>
        <v>0.9748404056</v>
      </c>
      <c r="K23" s="113">
        <f>(SUM('Balance Sheet'!K30:K34)-'Balance Sheet'!K30)/SUM('Balance Sheet'!K11:K13)</f>
        <v>1.092321117</v>
      </c>
      <c r="L23" s="113">
        <f>(SUM('Balance Sheet'!L30:L34)-'Balance Sheet'!L30)/SUM('Balance Sheet'!L11:L13)</f>
        <v>0.9902110737</v>
      </c>
      <c r="M23" s="113">
        <f>(SUM('Balance Sheet'!M30:M34)-'Balance Sheet'!M30)/SUM('Balance Sheet'!M11:M13)</f>
        <v>1.193844492</v>
      </c>
      <c r="N23" s="113">
        <f>(SUM('Balance Sheet'!N30:N34)-'Balance Sheet'!N30)/SUM('Balance Sheet'!N11:N13)</f>
        <v>1.540192113</v>
      </c>
      <c r="O23" s="102">
        <v>1.08</v>
      </c>
      <c r="P23" s="96" t="s">
        <v>213</v>
      </c>
      <c r="Q23" s="86">
        <f>AVERAGE(C23:N23)</f>
        <v>0.9589743348</v>
      </c>
      <c r="R23" s="97"/>
      <c r="S23" s="96" t="s">
        <v>214</v>
      </c>
      <c r="T23" s="94"/>
      <c r="U23" s="94"/>
      <c r="V23" s="94"/>
      <c r="W23" s="94"/>
      <c r="X23" s="94"/>
      <c r="Y23" s="94"/>
      <c r="Z23" s="94"/>
      <c r="AA23" s="94"/>
      <c r="AB23" s="94"/>
      <c r="AC23" s="94"/>
      <c r="AD23" s="94"/>
      <c r="AE23" s="94"/>
    </row>
    <row r="24" ht="15.75" customHeight="1">
      <c r="B24" s="112"/>
      <c r="C24" s="79" t="s">
        <v>187</v>
      </c>
      <c r="D24" s="79" t="s">
        <v>187</v>
      </c>
      <c r="E24" s="79" t="s">
        <v>186</v>
      </c>
      <c r="F24" s="79" t="s">
        <v>186</v>
      </c>
      <c r="G24" s="79" t="s">
        <v>186</v>
      </c>
      <c r="H24" s="79" t="s">
        <v>186</v>
      </c>
      <c r="I24" s="79" t="s">
        <v>186</v>
      </c>
      <c r="J24" s="79" t="s">
        <v>186</v>
      </c>
      <c r="K24" s="79" t="s">
        <v>186</v>
      </c>
      <c r="L24" s="79" t="s">
        <v>186</v>
      </c>
      <c r="M24" s="79" t="s">
        <v>187</v>
      </c>
      <c r="N24" s="79" t="s">
        <v>188</v>
      </c>
      <c r="O24" s="116"/>
      <c r="P24" s="86"/>
      <c r="Q24" s="86"/>
      <c r="R24" s="81"/>
      <c r="S24" s="86"/>
      <c r="T24" s="115"/>
    </row>
    <row r="25" ht="15.75" customHeight="1">
      <c r="B25" s="107"/>
      <c r="C25" s="108"/>
      <c r="D25" s="101"/>
      <c r="E25" s="108"/>
      <c r="F25" s="101"/>
      <c r="G25" s="101"/>
      <c r="H25" s="101"/>
      <c r="I25" s="101"/>
      <c r="J25" s="108"/>
      <c r="K25" s="101"/>
      <c r="L25" s="101"/>
      <c r="M25" s="101"/>
      <c r="N25" s="117"/>
      <c r="O25" s="118"/>
      <c r="P25" s="119"/>
      <c r="Q25" s="86"/>
      <c r="R25" s="81"/>
      <c r="S25" s="86"/>
      <c r="T25" s="115"/>
    </row>
    <row r="26" ht="15.75" customHeight="1">
      <c r="B26" s="120" t="s">
        <v>215</v>
      </c>
      <c r="C26" s="2"/>
      <c r="D26" s="2"/>
      <c r="E26" s="2"/>
      <c r="F26" s="2"/>
      <c r="G26" s="2"/>
      <c r="H26" s="2"/>
      <c r="I26" s="2"/>
      <c r="J26" s="2"/>
      <c r="K26" s="2"/>
      <c r="L26" s="2"/>
      <c r="M26" s="2"/>
      <c r="N26" s="2"/>
      <c r="O26" s="2"/>
      <c r="P26" s="2"/>
      <c r="Q26" s="2"/>
      <c r="R26" s="2"/>
      <c r="S26" s="3"/>
      <c r="T26" s="115"/>
    </row>
    <row r="27" ht="15.75" customHeight="1">
      <c r="B27" s="121" t="s">
        <v>216</v>
      </c>
      <c r="C27" s="101">
        <f>('Balance Sheet'!C6+'Balance Sheet'!C7)/('Balance Sheet'!C4+'Balance Sheet'!C3)</f>
        <v>0.9057642487</v>
      </c>
      <c r="D27" s="101">
        <f>('Balance Sheet'!D6+'Balance Sheet'!D7)/('Balance Sheet'!D4+'Balance Sheet'!D3)</f>
        <v>0.7265489288</v>
      </c>
      <c r="E27" s="101">
        <f>('Balance Sheet'!E6+'Balance Sheet'!E7)/('Balance Sheet'!E4+'Balance Sheet'!E3)</f>
        <v>1.253444806</v>
      </c>
      <c r="F27" s="101">
        <f>('Balance Sheet'!F6+'Balance Sheet'!F7)/('Balance Sheet'!F4+'Balance Sheet'!F3)</f>
        <v>1.18939724</v>
      </c>
      <c r="G27" s="101">
        <f>('Balance Sheet'!G6+'Balance Sheet'!G7)/('Balance Sheet'!G4+'Balance Sheet'!G3)</f>
        <v>1.105160536</v>
      </c>
      <c r="H27" s="101">
        <f>('Balance Sheet'!H6+'Balance Sheet'!H7)/('Balance Sheet'!H4+'Balance Sheet'!H3)</f>
        <v>0.9324157995</v>
      </c>
      <c r="I27" s="101">
        <f>('Balance Sheet'!I6+'Balance Sheet'!I7)/('Balance Sheet'!I4+'Balance Sheet'!I3)</f>
        <v>0.7940792338</v>
      </c>
      <c r="J27" s="101">
        <f>('Balance Sheet'!J6+'Balance Sheet'!J7)/('Balance Sheet'!J4+'Balance Sheet'!J3)</f>
        <v>0.6987904799</v>
      </c>
      <c r="K27" s="101">
        <f>('Balance Sheet'!K6+'Balance Sheet'!K7)/('Balance Sheet'!K4+'Balance Sheet'!K3)</f>
        <v>0.7892835641</v>
      </c>
      <c r="L27" s="101">
        <f>('Balance Sheet'!L6+'Balance Sheet'!L7)/('Balance Sheet'!L4+'Balance Sheet'!L3)</f>
        <v>0.7613430127</v>
      </c>
      <c r="M27" s="101">
        <f>('Balance Sheet'!M6+'Balance Sheet'!M7)/('Balance Sheet'!M4+'Balance Sheet'!M3)</f>
        <v>0.8059639505</v>
      </c>
      <c r="N27" s="101">
        <f>('Balance Sheet'!N6+'Balance Sheet'!N7)/('Balance Sheet'!N4+'Balance Sheet'!N3)</f>
        <v>0.3640582035</v>
      </c>
      <c r="O27" s="102">
        <v>0.7</v>
      </c>
      <c r="P27" s="79" t="s">
        <v>217</v>
      </c>
      <c r="Q27" s="86">
        <f>AVERAGE(C27:N27)</f>
        <v>0.8605208336</v>
      </c>
      <c r="R27" s="81"/>
      <c r="S27" s="79" t="s">
        <v>218</v>
      </c>
      <c r="T27" s="115"/>
    </row>
    <row r="28" ht="15.75" customHeight="1">
      <c r="B28" s="122"/>
      <c r="C28" s="79" t="s">
        <v>219</v>
      </c>
      <c r="D28" s="84" t="s">
        <v>219</v>
      </c>
      <c r="E28" s="98" t="s">
        <v>219</v>
      </c>
      <c r="F28" s="98" t="s">
        <v>220</v>
      </c>
      <c r="G28" s="98" t="s">
        <v>220</v>
      </c>
      <c r="H28" s="98" t="s">
        <v>219</v>
      </c>
      <c r="I28" s="98" t="s">
        <v>219</v>
      </c>
      <c r="J28" s="84" t="s">
        <v>219</v>
      </c>
      <c r="K28" s="84" t="s">
        <v>219</v>
      </c>
      <c r="L28" s="98" t="s">
        <v>219</v>
      </c>
      <c r="M28" s="98" t="s">
        <v>219</v>
      </c>
      <c r="N28" s="98" t="s">
        <v>219</v>
      </c>
      <c r="O28" s="85"/>
      <c r="P28" s="86"/>
      <c r="Q28" s="86"/>
      <c r="R28" s="81"/>
      <c r="S28" s="86"/>
      <c r="T28" s="115"/>
    </row>
    <row r="29" ht="15.75" customHeight="1">
      <c r="B29" s="122" t="s">
        <v>221</v>
      </c>
      <c r="C29" s="123">
        <f>'Balance Sheet'!C5/'Balance Sheet'!C36</f>
        <v>0.4020530927</v>
      </c>
      <c r="D29" s="123">
        <f>'Balance Sheet'!D5/'Balance Sheet'!D36</f>
        <v>0.3550075681</v>
      </c>
      <c r="E29" s="123">
        <f>'Balance Sheet'!E5/'Balance Sheet'!E36</f>
        <v>0.4303369058</v>
      </c>
      <c r="F29" s="123">
        <f>'Balance Sheet'!F5/'Balance Sheet'!F36</f>
        <v>0.4203735144</v>
      </c>
      <c r="G29" s="123">
        <f>'Balance Sheet'!G5/'Balance Sheet'!G36</f>
        <v>0.4169758393</v>
      </c>
      <c r="H29" s="123">
        <f>'Balance Sheet'!H5/'Balance Sheet'!H36</f>
        <v>0.3826232949</v>
      </c>
      <c r="I29" s="123">
        <f>'Balance Sheet'!I5/'Balance Sheet'!I36</f>
        <v>0.3645104895</v>
      </c>
      <c r="J29" s="123">
        <f>'Balance Sheet'!J5/'Balance Sheet'!J36</f>
        <v>0.3160944771</v>
      </c>
      <c r="K29" s="123">
        <f>'Balance Sheet'!K5/'Balance Sheet'!K36</f>
        <v>0.3350137683</v>
      </c>
      <c r="L29" s="123">
        <f>'Balance Sheet'!L5/'Balance Sheet'!L36</f>
        <v>0.3243804833</v>
      </c>
      <c r="M29" s="123">
        <f>'Balance Sheet'!M5/'Balance Sheet'!M36</f>
        <v>0.3338015142</v>
      </c>
      <c r="N29" s="123">
        <f>'Balance Sheet'!N5/'Balance Sheet'!N36</f>
        <v>0.2017751666</v>
      </c>
      <c r="O29" s="102">
        <v>0.23</v>
      </c>
      <c r="P29" s="124" t="s">
        <v>222</v>
      </c>
      <c r="Q29" s="86">
        <f>AVERAGE(C29:N29)</f>
        <v>0.3569121762</v>
      </c>
      <c r="R29" s="81"/>
      <c r="S29" s="79" t="s">
        <v>223</v>
      </c>
      <c r="T29" s="115"/>
    </row>
    <row r="30" ht="15.75" customHeight="1">
      <c r="B30" s="122"/>
      <c r="C30" s="84" t="s">
        <v>219</v>
      </c>
      <c r="D30" s="84" t="s">
        <v>219</v>
      </c>
      <c r="E30" s="84" t="s">
        <v>219</v>
      </c>
      <c r="F30" s="84" t="s">
        <v>219</v>
      </c>
      <c r="G30" s="84" t="s">
        <v>219</v>
      </c>
      <c r="H30" s="84" t="s">
        <v>219</v>
      </c>
      <c r="I30" s="84" t="s">
        <v>219</v>
      </c>
      <c r="J30" s="84" t="s">
        <v>219</v>
      </c>
      <c r="K30" s="84" t="s">
        <v>219</v>
      </c>
      <c r="L30" s="84" t="s">
        <v>219</v>
      </c>
      <c r="M30" s="84" t="s">
        <v>219</v>
      </c>
      <c r="N30" s="84" t="s">
        <v>219</v>
      </c>
      <c r="O30" s="85"/>
      <c r="P30" s="86"/>
      <c r="Q30" s="86"/>
      <c r="R30" s="81"/>
      <c r="S30" s="86"/>
      <c r="T30" s="115"/>
    </row>
    <row r="31" ht="15.75" customHeight="1">
      <c r="B31" s="122" t="s">
        <v>224</v>
      </c>
      <c r="C31" s="101">
        <f>'Profit and Loss Statement'!C9/'Profit and Loss Statement'!C14</f>
        <v>1.822747415</v>
      </c>
      <c r="D31" s="101">
        <f>'Profit and Loss Statement'!D9/'Profit and Loss Statement'!D14</f>
        <v>2.913597734</v>
      </c>
      <c r="E31" s="101">
        <f>'Profit and Loss Statement'!E9/'Profit and Loss Statement'!E14</f>
        <v>2.644265233</v>
      </c>
      <c r="F31" s="101">
        <f>'Profit and Loss Statement'!F9/'Profit and Loss Statement'!F14</f>
        <v>2.330468004</v>
      </c>
      <c r="G31" s="101">
        <f>'Profit and Loss Statement'!G9/'Profit and Loss Statement'!G14</f>
        <v>3.666666667</v>
      </c>
      <c r="H31" s="101">
        <f>'Profit and Loss Statement'!H9/'Profit and Loss Statement'!H14</f>
        <v>3.430493274</v>
      </c>
      <c r="I31" s="101">
        <f>'Profit and Loss Statement'!I9/'Profit and Loss Statement'!I14</f>
        <v>3.855381166</v>
      </c>
      <c r="J31" s="101">
        <f>'Profit and Loss Statement'!J9/'Profit and Loss Statement'!J14</f>
        <v>4.511821975</v>
      </c>
      <c r="K31" s="101">
        <f>'Profit and Loss Statement'!K9/'Profit and Loss Statement'!K14</f>
        <v>5.771477663</v>
      </c>
      <c r="L31" s="101">
        <f>'Profit and Loss Statement'!L9/'Profit and Loss Statement'!L14</f>
        <v>6.368263473</v>
      </c>
      <c r="M31" s="101">
        <f>'Profit and Loss Statement'!M9/'Profit and Loss Statement'!M14</f>
        <v>4.976952625</v>
      </c>
      <c r="N31" s="101">
        <f>'Profit and Loss Statement'!N9/'Profit and Loss Statement'!N14</f>
        <v>4.985125858</v>
      </c>
      <c r="O31" s="102">
        <v>2.8</v>
      </c>
      <c r="P31" s="124" t="s">
        <v>225</v>
      </c>
      <c r="Q31" s="86">
        <f>AVERAGE(C31:N31)</f>
        <v>3.939771757</v>
      </c>
      <c r="R31" s="81"/>
      <c r="S31" s="79" t="s">
        <v>226</v>
      </c>
      <c r="T31" s="115"/>
    </row>
    <row r="32" ht="15.75" customHeight="1">
      <c r="B32" s="122"/>
      <c r="C32" s="84" t="s">
        <v>187</v>
      </c>
      <c r="D32" s="84" t="s">
        <v>187</v>
      </c>
      <c r="E32" s="84" t="s">
        <v>187</v>
      </c>
      <c r="F32" s="84" t="s">
        <v>187</v>
      </c>
      <c r="G32" s="84" t="s">
        <v>187</v>
      </c>
      <c r="H32" s="84" t="s">
        <v>187</v>
      </c>
      <c r="I32" s="84" t="s">
        <v>188</v>
      </c>
      <c r="J32" s="84" t="s">
        <v>188</v>
      </c>
      <c r="K32" s="84" t="s">
        <v>188</v>
      </c>
      <c r="L32" s="84" t="s">
        <v>188</v>
      </c>
      <c r="M32" s="84" t="s">
        <v>188</v>
      </c>
      <c r="N32" s="84" t="s">
        <v>188</v>
      </c>
      <c r="O32" s="85"/>
      <c r="P32" s="86"/>
      <c r="Q32" s="86"/>
      <c r="R32" s="81"/>
      <c r="S32" s="86"/>
      <c r="T32" s="115"/>
    </row>
    <row r="33" ht="15.75" customHeight="1">
      <c r="B33" s="122" t="s">
        <v>227</v>
      </c>
      <c r="C33" s="101">
        <f>'Balance Sheet'!C3/'Balance Sheet'!C36</f>
        <v>0.03086177586</v>
      </c>
      <c r="D33" s="101">
        <f>'Balance Sheet'!D3/'Balance Sheet'!D36</f>
        <v>0.0297679112</v>
      </c>
      <c r="E33" s="101">
        <f>'Balance Sheet'!E3/'Balance Sheet'!E36</f>
        <v>0.02466540177</v>
      </c>
      <c r="F33" s="101">
        <f>'Balance Sheet'!F3/'Balance Sheet'!F36</f>
        <v>0.02333252486</v>
      </c>
      <c r="G33" s="101">
        <f>'Balance Sheet'!G3/'Balance Sheet'!G36</f>
        <v>0.0217627364</v>
      </c>
      <c r="H33" s="101">
        <f>'Balance Sheet'!H3/'Balance Sheet'!H36</f>
        <v>0.02018887723</v>
      </c>
      <c r="I33" s="101">
        <f>'Balance Sheet'!I3/'Balance Sheet'!I36</f>
        <v>0.02102272727</v>
      </c>
      <c r="J33" s="101">
        <f>'Balance Sheet'!J3/'Balance Sheet'!J36</f>
        <v>0.02111686715</v>
      </c>
      <c r="K33" s="101">
        <f>'Balance Sheet'!K3/'Balance Sheet'!K36</f>
        <v>0.02037703876</v>
      </c>
      <c r="L33" s="101">
        <f>'Balance Sheet'!L3/'Balance Sheet'!L36</f>
        <v>0.0185085424</v>
      </c>
      <c r="M33" s="101">
        <f>'Balance Sheet'!M3/'Balance Sheet'!M36</f>
        <v>0.01647768148</v>
      </c>
      <c r="N33" s="101">
        <f>'Balance Sheet'!N3/'Balance Sheet'!N36</f>
        <v>0.0159196437</v>
      </c>
      <c r="O33" s="102">
        <v>0.0286</v>
      </c>
      <c r="P33" s="124" t="s">
        <v>228</v>
      </c>
      <c r="Q33" s="86">
        <f>AVERAGE(C33:N33)</f>
        <v>0.02200014401</v>
      </c>
      <c r="R33" s="81"/>
      <c r="S33" s="79" t="s">
        <v>229</v>
      </c>
      <c r="T33" s="115"/>
    </row>
    <row r="34" ht="15.75" customHeight="1">
      <c r="B34" s="122"/>
      <c r="C34" s="98" t="s">
        <v>187</v>
      </c>
      <c r="D34" s="98" t="s">
        <v>187</v>
      </c>
      <c r="E34" s="98" t="s">
        <v>187</v>
      </c>
      <c r="F34" s="98" t="s">
        <v>187</v>
      </c>
      <c r="G34" s="98" t="s">
        <v>187</v>
      </c>
      <c r="H34" s="98" t="s">
        <v>187</v>
      </c>
      <c r="I34" s="98" t="s">
        <v>187</v>
      </c>
      <c r="J34" s="98" t="s">
        <v>187</v>
      </c>
      <c r="K34" s="98" t="s">
        <v>187</v>
      </c>
      <c r="L34" s="98" t="s">
        <v>186</v>
      </c>
      <c r="M34" s="98" t="s">
        <v>186</v>
      </c>
      <c r="N34" s="98" t="s">
        <v>186</v>
      </c>
      <c r="O34" s="85"/>
      <c r="P34" s="86"/>
      <c r="Q34" s="86"/>
      <c r="R34" s="81"/>
      <c r="S34" s="86"/>
    </row>
    <row r="35" ht="15.75" customHeight="1">
      <c r="B35" s="107"/>
      <c r="C35" s="101"/>
      <c r="D35" s="101"/>
      <c r="E35" s="101"/>
      <c r="F35" s="101"/>
      <c r="G35" s="101"/>
      <c r="H35" s="101"/>
      <c r="I35" s="101"/>
      <c r="J35" s="101"/>
      <c r="K35" s="101"/>
      <c r="L35" s="101"/>
      <c r="M35" s="101"/>
      <c r="N35" s="101"/>
      <c r="O35" s="125"/>
      <c r="P35" s="86"/>
      <c r="Q35" s="86"/>
      <c r="R35" s="81"/>
      <c r="S35" s="86"/>
    </row>
    <row r="36" ht="15.75" customHeight="1">
      <c r="B36" s="126" t="s">
        <v>230</v>
      </c>
      <c r="C36" s="2"/>
      <c r="D36" s="2"/>
      <c r="E36" s="2"/>
      <c r="F36" s="2"/>
      <c r="G36" s="2"/>
      <c r="H36" s="2"/>
      <c r="I36" s="2"/>
      <c r="J36" s="2"/>
      <c r="K36" s="2"/>
      <c r="L36" s="2"/>
      <c r="M36" s="2"/>
      <c r="N36" s="2"/>
      <c r="O36" s="2"/>
      <c r="P36" s="2"/>
      <c r="Q36" s="2"/>
      <c r="R36" s="2"/>
      <c r="S36" s="3"/>
    </row>
    <row r="37" ht="15.75" customHeight="1">
      <c r="B37" s="127" t="s">
        <v>231</v>
      </c>
      <c r="C37" s="101">
        <f>'Profit and Loss Statement'!C3/'Balance Sheet'!C30</f>
        <v>30.16254417</v>
      </c>
      <c r="D37" s="101">
        <f>'Profit and Loss Statement'!D3/'Balance Sheet'!D30</f>
        <v>40.31620553</v>
      </c>
      <c r="E37" s="101">
        <f>'Profit and Loss Statement'!E3/'Balance Sheet'!E30</f>
        <v>27.68095238</v>
      </c>
      <c r="F37" s="101">
        <f>'Profit and Loss Statement'!F3/'Balance Sheet'!F30</f>
        <v>26.88617886</v>
      </c>
      <c r="G37" s="101">
        <f>'Profit and Loss Statement'!G3/'Balance Sheet'!G30</f>
        <v>25.21806167</v>
      </c>
      <c r="H37" s="101">
        <f>'Profit and Loss Statement'!H3/'Balance Sheet'!H30</f>
        <v>20.69856459</v>
      </c>
      <c r="I37" s="101">
        <f>'Profit and Loss Statement'!I3/'Balance Sheet'!I30</f>
        <v>22.47826087</v>
      </c>
      <c r="J37" s="101">
        <f>'Profit and Loss Statement'!J3/'Balance Sheet'!J30</f>
        <v>30.51036269</v>
      </c>
      <c r="K37" s="101">
        <f>'Profit and Loss Statement'!K3/'Balance Sheet'!K30</f>
        <v>31.31506849</v>
      </c>
      <c r="L37" s="101">
        <f>'Profit and Loss Statement'!L3/'Balance Sheet'!L30</f>
        <v>29.15789474</v>
      </c>
      <c r="M37" s="101">
        <f>'Profit and Loss Statement'!M3/'Balance Sheet'!M30</f>
        <v>30.89318885</v>
      </c>
      <c r="N37" s="101">
        <f>'Profit and Loss Statement'!N3/'Balance Sheet'!N30</f>
        <v>35.9819376</v>
      </c>
      <c r="O37" s="128">
        <v>2.0</v>
      </c>
      <c r="P37" s="129"/>
      <c r="Q37" s="86">
        <f>AVERAGE(C37:N37)</f>
        <v>29.27493504</v>
      </c>
      <c r="R37" s="81"/>
      <c r="S37" s="79" t="s">
        <v>232</v>
      </c>
    </row>
    <row r="38" ht="15.75" customHeight="1">
      <c r="B38" s="130"/>
      <c r="C38" s="98" t="s">
        <v>188</v>
      </c>
      <c r="D38" s="98" t="s">
        <v>188</v>
      </c>
      <c r="E38" s="98" t="s">
        <v>188</v>
      </c>
      <c r="F38" s="98" t="s">
        <v>188</v>
      </c>
      <c r="G38" s="98" t="s">
        <v>188</v>
      </c>
      <c r="H38" s="98" t="s">
        <v>188</v>
      </c>
      <c r="I38" s="98" t="s">
        <v>188</v>
      </c>
      <c r="J38" s="98" t="s">
        <v>188</v>
      </c>
      <c r="K38" s="98" t="s">
        <v>188</v>
      </c>
      <c r="L38" s="98" t="s">
        <v>188</v>
      </c>
      <c r="M38" s="98" t="s">
        <v>188</v>
      </c>
      <c r="N38" s="98" t="s">
        <v>188</v>
      </c>
      <c r="O38" s="125"/>
      <c r="P38" s="86"/>
      <c r="Q38" s="86"/>
      <c r="R38" s="81"/>
      <c r="S38" s="86"/>
    </row>
    <row r="39" ht="15.75" customHeight="1">
      <c r="B39" s="130" t="s">
        <v>233</v>
      </c>
      <c r="C39" s="124">
        <f>'Profit and Loss Statement'!C3/'Balance Sheet'!C35</f>
        <v>10.61691542</v>
      </c>
      <c r="D39" s="124">
        <f>'Profit and Loss Statement'!D3/'Balance Sheet'!D35</f>
        <v>12.3039807</v>
      </c>
      <c r="E39" s="124">
        <f>'Profit and Loss Statement'!E3/'Balance Sheet'!E35</f>
        <v>12.09152366</v>
      </c>
      <c r="F39" s="124">
        <f>'Profit and Loss Statement'!F3/'Balance Sheet'!F35</f>
        <v>9.832507433</v>
      </c>
      <c r="G39" s="124">
        <f>'Profit and Loss Statement'!G3/'Balance Sheet'!G35</f>
        <v>10.94027711</v>
      </c>
      <c r="H39" s="124">
        <f>'Profit and Loss Statement'!H3/'Balance Sheet'!H35</f>
        <v>11.30980392</v>
      </c>
      <c r="I39" s="124">
        <f>'Profit and Loss Statement'!I3/'Balance Sheet'!I35</f>
        <v>11.43027211</v>
      </c>
      <c r="J39" s="124">
        <f>'Profit and Loss Statement'!J3/'Balance Sheet'!J35</f>
        <v>9.586487586</v>
      </c>
      <c r="K39" s="124">
        <f>'Profit and Loss Statement'!K3/'Balance Sheet'!K35</f>
        <v>10.39090909</v>
      </c>
      <c r="L39" s="124">
        <f>'Profit and Loss Statement'!L3/'Balance Sheet'!L35</f>
        <v>13.08055556</v>
      </c>
      <c r="M39" s="124">
        <f>'Profit and Loss Statement'!M3/'Balance Sheet'!M35</f>
        <v>12.95068138</v>
      </c>
      <c r="N39" s="124">
        <f>'Profit and Loss Statement'!N3/'Balance Sheet'!N35</f>
        <v>13.45594105</v>
      </c>
      <c r="O39" s="131">
        <v>4.79</v>
      </c>
      <c r="P39" s="132" t="s">
        <v>234</v>
      </c>
      <c r="Q39" s="86">
        <f>AVERAGE(C39:N39)</f>
        <v>11.49915458</v>
      </c>
      <c r="R39" s="81"/>
      <c r="S39" s="79" t="s">
        <v>235</v>
      </c>
    </row>
    <row r="40" ht="15.75" customHeight="1">
      <c r="B40" s="130"/>
      <c r="C40" s="84" t="s">
        <v>188</v>
      </c>
      <c r="D40" s="84" t="s">
        <v>188</v>
      </c>
      <c r="E40" s="98" t="s">
        <v>188</v>
      </c>
      <c r="F40" s="84" t="s">
        <v>236</v>
      </c>
      <c r="G40" s="98" t="s">
        <v>188</v>
      </c>
      <c r="H40" s="98" t="s">
        <v>188</v>
      </c>
      <c r="I40" s="84" t="s">
        <v>188</v>
      </c>
      <c r="J40" s="98" t="s">
        <v>188</v>
      </c>
      <c r="K40" s="98" t="s">
        <v>188</v>
      </c>
      <c r="L40" s="98" t="s">
        <v>188</v>
      </c>
      <c r="M40" s="98" t="s">
        <v>188</v>
      </c>
      <c r="N40" s="84" t="s">
        <v>188</v>
      </c>
      <c r="O40" s="85"/>
      <c r="P40" s="86"/>
      <c r="Q40" s="86"/>
      <c r="R40" s="81"/>
      <c r="S40" s="86"/>
    </row>
    <row r="41" ht="15.75" customHeight="1">
      <c r="B41" s="130" t="s">
        <v>237</v>
      </c>
      <c r="C41" s="101">
        <f>'Profit and Loss Statement'!C3/'Balance Sheet'!C15</f>
        <v>0.9180468918</v>
      </c>
      <c r="D41" s="101">
        <f>'Profit and Loss Statement'!D3/'Balance Sheet'!D15</f>
        <v>1.120879121</v>
      </c>
      <c r="E41" s="101">
        <f>'Profit and Loss Statement'!E3/'Balance Sheet'!E15</f>
        <v>0.7799020594</v>
      </c>
      <c r="F41" s="101">
        <f>'Profit and Loss Statement'!F3/'Balance Sheet'!F15</f>
        <v>0.5976866076</v>
      </c>
      <c r="G41" s="101">
        <f>'Profit and Loss Statement'!G3/'Balance Sheet'!G15</f>
        <v>0.6812447935</v>
      </c>
      <c r="H41" s="101">
        <f>'Profit and Loss Statement'!H3/'Balance Sheet'!H15</f>
        <v>0.7628732659</v>
      </c>
      <c r="I41" s="101">
        <f>'Profit and Loss Statement'!I3/'Balance Sheet'!I15</f>
        <v>0.8512443797</v>
      </c>
      <c r="J41" s="101">
        <f>'Profit and Loss Statement'!J3/'Balance Sheet'!J15</f>
        <v>0.7558079836</v>
      </c>
      <c r="K41" s="101">
        <f>'Profit and Loss Statement'!K3/'Balance Sheet'!K15</f>
        <v>0.9586915496</v>
      </c>
      <c r="L41" s="101">
        <f>'Profit and Loss Statement'!L3/'Balance Sheet'!L15</f>
        <v>1.275633211</v>
      </c>
      <c r="M41" s="101">
        <f>'Profit and Loss Statement'!M3/'Balance Sheet'!M15</f>
        <v>1.236263396</v>
      </c>
      <c r="N41" s="101">
        <f>'Profit and Loss Statement'!N3/'Balance Sheet'!N15</f>
        <v>1.396444048</v>
      </c>
      <c r="O41" s="102">
        <v>0.2461</v>
      </c>
      <c r="P41" s="124" t="s">
        <v>238</v>
      </c>
      <c r="Q41" s="86">
        <f>AVERAGE(C41:N41)</f>
        <v>0.9445597756</v>
      </c>
      <c r="R41" s="81"/>
      <c r="S41" s="79" t="s">
        <v>239</v>
      </c>
    </row>
    <row r="42" ht="15.75" customHeight="1">
      <c r="B42" s="130"/>
      <c r="C42" s="98" t="s">
        <v>187</v>
      </c>
      <c r="D42" s="98" t="s">
        <v>188</v>
      </c>
      <c r="E42" s="98" t="s">
        <v>187</v>
      </c>
      <c r="F42" s="84" t="s">
        <v>187</v>
      </c>
      <c r="G42" s="98" t="s">
        <v>187</v>
      </c>
      <c r="H42" s="98" t="s">
        <v>187</v>
      </c>
      <c r="I42" s="84" t="s">
        <v>187</v>
      </c>
      <c r="J42" s="84" t="s">
        <v>187</v>
      </c>
      <c r="K42" s="84" t="s">
        <v>187</v>
      </c>
      <c r="L42" s="84" t="s">
        <v>188</v>
      </c>
      <c r="M42" s="84" t="s">
        <v>188</v>
      </c>
      <c r="N42" s="98" t="s">
        <v>188</v>
      </c>
      <c r="O42" s="85"/>
      <c r="P42" s="86"/>
      <c r="Q42" s="86"/>
      <c r="R42" s="81"/>
      <c r="S42" s="86"/>
    </row>
    <row r="43" ht="15.75" customHeight="1">
      <c r="B43" s="130" t="s">
        <v>240</v>
      </c>
      <c r="C43" s="124">
        <f>'Profit and Loss Statement'!C3/'Balance Sheet'!C37</f>
        <v>0.4463034613</v>
      </c>
      <c r="D43" s="124">
        <f>'Profit and Loss Statement'!D3/'Balance Sheet'!D37</f>
        <v>0.6548956661</v>
      </c>
      <c r="E43" s="124">
        <f>'Profit and Loss Statement'!E3/'Balance Sheet'!E37</f>
        <v>0.6576349803</v>
      </c>
      <c r="F43" s="124">
        <f>'Profit and Loss Statement'!F3/'Balance Sheet'!F37</f>
        <v>0.4946156147</v>
      </c>
      <c r="G43" s="124">
        <f>'Profit and Loss Statement'!G3/'Balance Sheet'!G37</f>
        <v>0.5360395159</v>
      </c>
      <c r="H43" s="124">
        <f>'Profit and Loss Statement'!H3/'Balance Sheet'!H37</f>
        <v>0.5651577503</v>
      </c>
      <c r="I43" s="124">
        <f>'Profit and Loss Statement'!I3/'Balance Sheet'!I37</f>
        <v>0.5756128894</v>
      </c>
      <c r="J43" s="124">
        <f>'Profit and Loss Statement'!J3/'Balance Sheet'!J37</f>
        <v>0.5158789259</v>
      </c>
      <c r="K43" s="124">
        <f>'Profit and Loss Statement'!K3/'Balance Sheet'!K37</f>
        <v>0.5914235819</v>
      </c>
      <c r="L43" s="124">
        <f>'Profit and Loss Statement'!L3/'Balance Sheet'!L37</f>
        <v>0.7596233339</v>
      </c>
      <c r="M43" s="124">
        <f>'Profit and Loss Statement'!M3/'Balance Sheet'!M37</f>
        <v>0.7233548995</v>
      </c>
      <c r="N43" s="124">
        <f>'Profit and Loss Statement'!N3/'Balance Sheet'!N37</f>
        <v>0.720230074</v>
      </c>
      <c r="O43" s="102">
        <v>0.17</v>
      </c>
      <c r="P43" s="124" t="s">
        <v>241</v>
      </c>
      <c r="Q43" s="86">
        <f>AVERAGE(C43:N43)</f>
        <v>0.6033975578</v>
      </c>
      <c r="R43" s="81"/>
      <c r="S43" s="79" t="s">
        <v>242</v>
      </c>
    </row>
    <row r="44" ht="15.75" customHeight="1">
      <c r="B44" s="130"/>
      <c r="C44" s="84" t="s">
        <v>187</v>
      </c>
      <c r="D44" s="98" t="s">
        <v>188</v>
      </c>
      <c r="E44" s="98" t="s">
        <v>188</v>
      </c>
      <c r="F44" s="98" t="s">
        <v>187</v>
      </c>
      <c r="G44" s="98" t="s">
        <v>188</v>
      </c>
      <c r="H44" s="98" t="s">
        <v>188</v>
      </c>
      <c r="I44" s="84" t="s">
        <v>188</v>
      </c>
      <c r="J44" s="84" t="s">
        <v>188</v>
      </c>
      <c r="K44" s="98" t="s">
        <v>188</v>
      </c>
      <c r="L44" s="98" t="s">
        <v>188</v>
      </c>
      <c r="M44" s="98" t="s">
        <v>188</v>
      </c>
      <c r="N44" s="98" t="s">
        <v>188</v>
      </c>
      <c r="O44" s="85"/>
      <c r="P44" s="86"/>
      <c r="Q44" s="86"/>
      <c r="R44" s="81"/>
      <c r="S44" s="86"/>
    </row>
    <row r="45" ht="15.75" customHeight="1">
      <c r="O45" s="133"/>
    </row>
    <row r="46" ht="15.75" customHeight="1">
      <c r="O46" s="134" t="s">
        <v>243</v>
      </c>
      <c r="P46" s="2"/>
      <c r="Q46" s="2"/>
      <c r="R46" s="3"/>
    </row>
    <row r="47" ht="15.75" customHeight="1">
      <c r="B47" s="29"/>
      <c r="O47" s="133"/>
    </row>
    <row r="48" ht="15.75" customHeight="1">
      <c r="B48" s="29"/>
      <c r="O48" s="133"/>
    </row>
    <row r="49" ht="15.75" customHeight="1">
      <c r="B49" s="29"/>
      <c r="O49" s="133"/>
    </row>
    <row r="50" ht="15.75" customHeight="1">
      <c r="B50" s="29"/>
      <c r="O50" s="133"/>
    </row>
    <row r="51" ht="15.75" customHeight="1">
      <c r="B51" s="29"/>
      <c r="O51" s="133"/>
    </row>
    <row r="52" ht="15.75" customHeight="1">
      <c r="B52" s="29"/>
      <c r="O52" s="133"/>
    </row>
    <row r="53" ht="15.75" customHeight="1">
      <c r="B53" s="29"/>
      <c r="O53" s="133"/>
    </row>
    <row r="54" ht="15.75" customHeight="1">
      <c r="B54" s="29"/>
      <c r="O54" s="133"/>
    </row>
    <row r="55" ht="15.75" customHeight="1">
      <c r="B55" s="29"/>
      <c r="O55" s="133"/>
    </row>
    <row r="56" ht="15.75" customHeight="1">
      <c r="O56" s="133"/>
    </row>
    <row r="57" ht="15.75" customHeight="1">
      <c r="O57" s="133"/>
    </row>
    <row r="58" ht="15.75" customHeight="1">
      <c r="O58" s="133"/>
    </row>
    <row r="59" ht="15.75" customHeight="1">
      <c r="O59" s="133"/>
    </row>
    <row r="60" ht="15.75" customHeight="1">
      <c r="O60" s="133"/>
    </row>
    <row r="61" ht="15.75" customHeight="1">
      <c r="O61" s="133"/>
    </row>
    <row r="62" ht="15.75" customHeight="1">
      <c r="O62" s="133"/>
    </row>
    <row r="63" ht="15.75" customHeight="1">
      <c r="O63" s="133"/>
    </row>
    <row r="64" ht="15.75" customHeight="1">
      <c r="O64" s="133"/>
    </row>
    <row r="65" ht="15.75" customHeight="1">
      <c r="O65" s="133"/>
    </row>
    <row r="66" ht="15.75" customHeight="1">
      <c r="O66" s="133"/>
    </row>
    <row r="67" ht="15.75" customHeight="1">
      <c r="O67" s="133"/>
    </row>
    <row r="68" ht="15.75" customHeight="1">
      <c r="O68" s="133"/>
    </row>
    <row r="69" ht="15.75" customHeight="1">
      <c r="O69" s="133"/>
    </row>
    <row r="70" ht="15.75" customHeight="1">
      <c r="O70" s="133"/>
    </row>
    <row r="71" ht="15.75" customHeight="1">
      <c r="O71" s="133"/>
    </row>
    <row r="72" ht="15.75" customHeight="1">
      <c r="O72" s="133"/>
    </row>
    <row r="73" ht="15.75" customHeight="1">
      <c r="O73" s="133"/>
    </row>
    <row r="74" ht="15.75" customHeight="1">
      <c r="O74" s="133"/>
    </row>
    <row r="75" ht="15.75" customHeight="1">
      <c r="O75" s="133"/>
    </row>
    <row r="76" ht="15.75" customHeight="1">
      <c r="O76" s="133"/>
    </row>
    <row r="77" ht="15.75" customHeight="1">
      <c r="O77" s="133"/>
    </row>
    <row r="78" ht="15.75" customHeight="1">
      <c r="O78" s="133"/>
    </row>
    <row r="79" ht="15.75" customHeight="1">
      <c r="O79" s="133"/>
    </row>
    <row r="80" ht="15.75" customHeight="1">
      <c r="O80" s="133"/>
    </row>
    <row r="81" ht="15.75" customHeight="1">
      <c r="O81" s="133"/>
    </row>
    <row r="82" ht="15.75" customHeight="1">
      <c r="O82" s="133"/>
    </row>
    <row r="83" ht="15.75" customHeight="1">
      <c r="O83" s="133"/>
    </row>
    <row r="84" ht="15.75" customHeight="1">
      <c r="O84" s="133"/>
    </row>
    <row r="85" ht="15.75" customHeight="1">
      <c r="O85" s="133"/>
    </row>
    <row r="86" ht="15.75" customHeight="1">
      <c r="O86" s="133"/>
    </row>
    <row r="87" ht="15.75" customHeight="1">
      <c r="O87" s="133"/>
    </row>
    <row r="88" ht="15.75" customHeight="1">
      <c r="O88" s="133"/>
    </row>
    <row r="89" ht="15.75" customHeight="1">
      <c r="O89" s="133"/>
    </row>
    <row r="90" ht="15.75" customHeight="1">
      <c r="O90" s="133"/>
    </row>
    <row r="91" ht="15.75" customHeight="1">
      <c r="O91" s="133"/>
    </row>
    <row r="92" ht="15.75" customHeight="1">
      <c r="O92" s="133"/>
    </row>
    <row r="93" ht="15.75" customHeight="1">
      <c r="O93" s="133"/>
    </row>
    <row r="94" ht="15.75" customHeight="1">
      <c r="O94" s="133"/>
    </row>
    <row r="95" ht="15.75" customHeight="1">
      <c r="O95" s="133"/>
    </row>
    <row r="96" ht="15.75" customHeight="1">
      <c r="O96" s="133"/>
    </row>
    <row r="97" ht="15.75" customHeight="1">
      <c r="O97" s="133"/>
    </row>
    <row r="98" ht="15.75" customHeight="1">
      <c r="O98" s="133"/>
    </row>
    <row r="99" ht="15.75" customHeight="1">
      <c r="O99" s="133"/>
    </row>
    <row r="100" ht="15.75" customHeight="1">
      <c r="O100" s="133"/>
    </row>
    <row r="101" ht="15.75" customHeight="1">
      <c r="O101" s="133"/>
    </row>
    <row r="102" ht="15.75" customHeight="1">
      <c r="O102" s="133"/>
    </row>
    <row r="103" ht="15.75" customHeight="1">
      <c r="O103" s="133"/>
    </row>
    <row r="104" ht="15.75" customHeight="1">
      <c r="O104" s="133"/>
    </row>
    <row r="105" ht="15.75" customHeight="1">
      <c r="O105" s="133"/>
    </row>
    <row r="106" ht="15.75" customHeight="1">
      <c r="O106" s="133"/>
    </row>
    <row r="107" ht="15.75" customHeight="1">
      <c r="O107" s="133"/>
    </row>
    <row r="108" ht="15.75" customHeight="1">
      <c r="O108" s="133"/>
    </row>
    <row r="109" ht="15.75" customHeight="1">
      <c r="O109" s="133"/>
    </row>
    <row r="110" ht="15.75" customHeight="1">
      <c r="O110" s="133"/>
    </row>
    <row r="111" ht="15.75" customHeight="1">
      <c r="O111" s="133"/>
    </row>
    <row r="112" ht="15.75" customHeight="1">
      <c r="O112" s="133"/>
    </row>
    <row r="113" ht="15.75" customHeight="1">
      <c r="O113" s="133"/>
    </row>
    <row r="114" ht="15.75" customHeight="1">
      <c r="O114" s="133"/>
    </row>
    <row r="115" ht="15.75" customHeight="1">
      <c r="O115" s="133"/>
    </row>
    <row r="116" ht="15.75" customHeight="1">
      <c r="O116" s="133"/>
    </row>
    <row r="117" ht="15.75" customHeight="1">
      <c r="O117" s="133"/>
    </row>
    <row r="118" ht="15.75" customHeight="1">
      <c r="O118" s="133"/>
    </row>
    <row r="119" ht="15.75" customHeight="1">
      <c r="O119" s="133"/>
    </row>
    <row r="120" ht="15.75" customHeight="1">
      <c r="O120" s="133"/>
    </row>
    <row r="121" ht="15.75" customHeight="1">
      <c r="O121" s="133"/>
    </row>
    <row r="122" ht="15.75" customHeight="1">
      <c r="O122" s="133"/>
    </row>
    <row r="123" ht="15.75" customHeight="1">
      <c r="O123" s="133"/>
    </row>
    <row r="124" ht="15.75" customHeight="1">
      <c r="O124" s="133"/>
    </row>
    <row r="125" ht="15.75" customHeight="1">
      <c r="O125" s="133"/>
    </row>
    <row r="126" ht="15.75" customHeight="1">
      <c r="O126" s="133"/>
    </row>
    <row r="127" ht="15.75" customHeight="1">
      <c r="O127" s="133"/>
    </row>
    <row r="128" ht="15.75" customHeight="1">
      <c r="O128" s="133"/>
    </row>
    <row r="129" ht="15.75" customHeight="1">
      <c r="O129" s="133"/>
    </row>
    <row r="130" ht="15.75" customHeight="1">
      <c r="O130" s="133"/>
    </row>
    <row r="131" ht="15.75" customHeight="1">
      <c r="O131" s="133"/>
    </row>
    <row r="132" ht="15.75" customHeight="1">
      <c r="O132" s="133"/>
    </row>
    <row r="133" ht="15.75" customHeight="1">
      <c r="O133" s="133"/>
    </row>
    <row r="134" ht="15.75" customHeight="1">
      <c r="O134" s="133"/>
    </row>
    <row r="135" ht="15.75" customHeight="1">
      <c r="O135" s="133"/>
    </row>
    <row r="136" ht="15.75" customHeight="1">
      <c r="O136" s="133"/>
    </row>
    <row r="137" ht="15.75" customHeight="1">
      <c r="O137" s="133"/>
    </row>
    <row r="138" ht="15.75" customHeight="1">
      <c r="O138" s="133"/>
    </row>
    <row r="139" ht="15.75" customHeight="1">
      <c r="O139" s="133"/>
    </row>
    <row r="140" ht="15.75" customHeight="1">
      <c r="O140" s="133"/>
    </row>
    <row r="141" ht="15.75" customHeight="1">
      <c r="O141" s="133"/>
    </row>
    <row r="142" ht="15.75" customHeight="1">
      <c r="O142" s="133"/>
    </row>
    <row r="143" ht="15.75" customHeight="1">
      <c r="O143" s="133"/>
    </row>
    <row r="144" ht="15.75" customHeight="1">
      <c r="O144" s="133"/>
    </row>
    <row r="145" ht="15.75" customHeight="1">
      <c r="O145" s="133"/>
    </row>
    <row r="146" ht="15.75" customHeight="1">
      <c r="O146" s="133"/>
    </row>
    <row r="147" ht="15.75" customHeight="1">
      <c r="O147" s="133"/>
    </row>
    <row r="148" ht="15.75" customHeight="1">
      <c r="O148" s="133"/>
    </row>
    <row r="149" ht="15.75" customHeight="1">
      <c r="O149" s="133"/>
    </row>
    <row r="150" ht="15.75" customHeight="1">
      <c r="O150" s="133"/>
    </row>
    <row r="151" ht="15.75" customHeight="1">
      <c r="O151" s="133"/>
    </row>
    <row r="152" ht="15.75" customHeight="1">
      <c r="O152" s="133"/>
    </row>
    <row r="153" ht="15.75" customHeight="1">
      <c r="O153" s="133"/>
    </row>
    <row r="154" ht="15.75" customHeight="1">
      <c r="O154" s="133"/>
    </row>
    <row r="155" ht="15.75" customHeight="1">
      <c r="O155" s="133"/>
    </row>
    <row r="156" ht="15.75" customHeight="1">
      <c r="O156" s="133"/>
    </row>
    <row r="157" ht="15.75" customHeight="1">
      <c r="O157" s="133"/>
    </row>
    <row r="158" ht="15.75" customHeight="1">
      <c r="O158" s="133"/>
    </row>
    <row r="159" ht="15.75" customHeight="1">
      <c r="O159" s="133"/>
    </row>
    <row r="160" ht="15.75" customHeight="1">
      <c r="O160" s="133"/>
    </row>
    <row r="161" ht="15.75" customHeight="1">
      <c r="O161" s="133"/>
    </row>
    <row r="162" ht="15.75" customHeight="1">
      <c r="O162" s="133"/>
    </row>
    <row r="163" ht="15.75" customHeight="1">
      <c r="O163" s="133"/>
    </row>
    <row r="164" ht="15.75" customHeight="1">
      <c r="O164" s="133"/>
    </row>
    <row r="165" ht="15.75" customHeight="1">
      <c r="O165" s="133"/>
    </row>
    <row r="166" ht="15.75" customHeight="1">
      <c r="O166" s="133"/>
    </row>
    <row r="167" ht="15.75" customHeight="1">
      <c r="O167" s="133"/>
    </row>
    <row r="168" ht="15.75" customHeight="1">
      <c r="O168" s="133"/>
    </row>
    <row r="169" ht="15.75" customHeight="1">
      <c r="O169" s="133"/>
    </row>
    <row r="170" ht="15.75" customHeight="1">
      <c r="O170" s="133"/>
    </row>
    <row r="171" ht="15.75" customHeight="1">
      <c r="O171" s="133"/>
    </row>
    <row r="172" ht="15.75" customHeight="1">
      <c r="O172" s="133"/>
    </row>
    <row r="173" ht="15.75" customHeight="1">
      <c r="O173" s="133"/>
    </row>
    <row r="174" ht="15.75" customHeight="1">
      <c r="O174" s="133"/>
    </row>
    <row r="175" ht="15.75" customHeight="1">
      <c r="O175" s="133"/>
    </row>
    <row r="176" ht="15.75" customHeight="1">
      <c r="O176" s="133"/>
    </row>
    <row r="177" ht="15.75" customHeight="1">
      <c r="O177" s="133"/>
    </row>
    <row r="178" ht="15.75" customHeight="1">
      <c r="O178" s="133"/>
    </row>
    <row r="179" ht="15.75" customHeight="1">
      <c r="O179" s="133"/>
    </row>
    <row r="180" ht="15.75" customHeight="1">
      <c r="O180" s="133"/>
    </row>
    <row r="181" ht="15.75" customHeight="1">
      <c r="O181" s="133"/>
    </row>
    <row r="182" ht="15.75" customHeight="1">
      <c r="O182" s="133"/>
    </row>
    <row r="183" ht="15.75" customHeight="1">
      <c r="O183" s="133"/>
    </row>
    <row r="184" ht="15.75" customHeight="1">
      <c r="O184" s="133"/>
    </row>
    <row r="185" ht="15.75" customHeight="1">
      <c r="O185" s="133"/>
    </row>
    <row r="186" ht="15.75" customHeight="1">
      <c r="O186" s="133"/>
    </row>
    <row r="187" ht="15.75" customHeight="1">
      <c r="O187" s="133"/>
    </row>
    <row r="188" ht="15.75" customHeight="1">
      <c r="O188" s="133"/>
    </row>
    <row r="189" ht="15.75" customHeight="1">
      <c r="O189" s="133"/>
    </row>
    <row r="190" ht="15.75" customHeight="1">
      <c r="O190" s="133"/>
    </row>
    <row r="191" ht="15.75" customHeight="1">
      <c r="O191" s="133"/>
    </row>
    <row r="192" ht="15.75" customHeight="1">
      <c r="O192" s="133"/>
    </row>
    <row r="193" ht="15.75" customHeight="1">
      <c r="O193" s="133"/>
    </row>
    <row r="194" ht="15.75" customHeight="1">
      <c r="O194" s="133"/>
    </row>
    <row r="195" ht="15.75" customHeight="1">
      <c r="O195" s="133"/>
    </row>
    <row r="196" ht="15.75" customHeight="1">
      <c r="O196" s="133"/>
    </row>
    <row r="197" ht="15.75" customHeight="1">
      <c r="O197" s="133"/>
    </row>
    <row r="198" ht="15.75" customHeight="1">
      <c r="O198" s="133"/>
    </row>
    <row r="199" ht="15.75" customHeight="1">
      <c r="O199" s="133"/>
    </row>
    <row r="200" ht="15.75" customHeight="1">
      <c r="O200" s="133"/>
    </row>
    <row r="201" ht="15.75" customHeight="1">
      <c r="O201" s="133"/>
    </row>
    <row r="202" ht="15.75" customHeight="1">
      <c r="O202" s="133"/>
    </row>
    <row r="203" ht="15.75" customHeight="1">
      <c r="O203" s="133"/>
    </row>
    <row r="204" ht="15.75" customHeight="1">
      <c r="O204" s="133"/>
    </row>
    <row r="205" ht="15.75" customHeight="1">
      <c r="O205" s="133"/>
    </row>
    <row r="206" ht="15.75" customHeight="1">
      <c r="O206" s="133"/>
    </row>
    <row r="207" ht="15.75" customHeight="1">
      <c r="O207" s="133"/>
    </row>
    <row r="208" ht="15.75" customHeight="1">
      <c r="O208" s="133"/>
    </row>
    <row r="209" ht="15.75" customHeight="1">
      <c r="O209" s="133"/>
    </row>
    <row r="210" ht="15.75" customHeight="1">
      <c r="O210" s="133"/>
    </row>
    <row r="211" ht="15.75" customHeight="1">
      <c r="O211" s="133"/>
    </row>
    <row r="212" ht="15.75" customHeight="1">
      <c r="O212" s="133"/>
    </row>
    <row r="213" ht="15.75" customHeight="1">
      <c r="O213" s="133"/>
    </row>
    <row r="214" ht="15.75" customHeight="1">
      <c r="O214" s="133"/>
    </row>
    <row r="215" ht="15.75" customHeight="1">
      <c r="O215" s="133"/>
    </row>
    <row r="216" ht="15.75" customHeight="1">
      <c r="O216" s="133"/>
    </row>
    <row r="217" ht="15.75" customHeight="1">
      <c r="O217" s="133"/>
    </row>
    <row r="218" ht="15.75" customHeight="1">
      <c r="O218" s="133"/>
    </row>
    <row r="219" ht="15.75" customHeight="1">
      <c r="O219" s="133"/>
    </row>
    <row r="220" ht="15.75" customHeight="1">
      <c r="O220" s="133"/>
    </row>
    <row r="221" ht="15.75" customHeight="1">
      <c r="O221" s="133"/>
    </row>
    <row r="222" ht="15.75" customHeight="1">
      <c r="O222" s="133"/>
    </row>
    <row r="223" ht="15.75" customHeight="1">
      <c r="O223" s="133"/>
    </row>
    <row r="224" ht="15.75" customHeight="1">
      <c r="O224" s="133"/>
    </row>
    <row r="225" ht="15.75" customHeight="1">
      <c r="O225" s="133"/>
    </row>
    <row r="226" ht="15.75" customHeight="1">
      <c r="O226" s="133"/>
    </row>
    <row r="227" ht="15.75" customHeight="1">
      <c r="O227" s="133"/>
    </row>
    <row r="228" ht="15.75" customHeight="1">
      <c r="O228" s="133"/>
    </row>
    <row r="229" ht="15.75" customHeight="1">
      <c r="O229" s="133"/>
    </row>
    <row r="230" ht="15.75" customHeight="1">
      <c r="O230" s="133"/>
    </row>
    <row r="231" ht="15.75" customHeight="1">
      <c r="O231" s="133"/>
    </row>
    <row r="232" ht="15.75" customHeight="1">
      <c r="O232" s="133"/>
    </row>
    <row r="233" ht="15.75" customHeight="1">
      <c r="O233" s="133"/>
    </row>
    <row r="234" ht="15.75" customHeight="1">
      <c r="O234" s="133"/>
    </row>
    <row r="235" ht="15.75" customHeight="1">
      <c r="O235" s="133"/>
    </row>
    <row r="236" ht="15.75" customHeight="1">
      <c r="O236" s="133"/>
    </row>
    <row r="237" ht="15.75" customHeight="1">
      <c r="O237" s="133"/>
    </row>
    <row r="238" ht="15.75" customHeight="1">
      <c r="O238" s="133"/>
    </row>
    <row r="239" ht="15.75" customHeight="1">
      <c r="O239" s="133"/>
    </row>
    <row r="240" ht="15.75" customHeight="1">
      <c r="O240" s="133"/>
    </row>
    <row r="241" ht="15.75" customHeight="1">
      <c r="O241" s="133"/>
    </row>
    <row r="242" ht="15.75" customHeight="1">
      <c r="O242" s="133"/>
    </row>
    <row r="243" ht="15.75" customHeight="1">
      <c r="O243" s="13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5">
    <mergeCell ref="B2:S2"/>
    <mergeCell ref="B20:S20"/>
    <mergeCell ref="B26:S26"/>
    <mergeCell ref="B36:S36"/>
    <mergeCell ref="O46:R4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8"/>
    <col customWidth="1" min="2" max="2" width="19.56"/>
    <col customWidth="1" min="3" max="4" width="10.33"/>
    <col customWidth="1" min="5" max="5" width="9.56"/>
    <col customWidth="1" min="6" max="6" width="10.33"/>
    <col customWidth="1" min="7" max="7" width="9.56"/>
    <col customWidth="1" min="8" max="9" width="10.33"/>
    <col customWidth="1" min="10" max="10" width="10.44"/>
    <col customWidth="1" min="11" max="15" width="10.56"/>
  </cols>
  <sheetData>
    <row r="1" ht="15.75" customHeight="1"/>
    <row r="2" ht="27.75" customHeight="1">
      <c r="B2" s="135" t="s">
        <v>244</v>
      </c>
      <c r="C2" s="136"/>
      <c r="D2" s="136"/>
      <c r="E2" s="136"/>
      <c r="F2" s="136"/>
      <c r="G2" s="136"/>
      <c r="H2" s="136"/>
      <c r="I2" s="136"/>
      <c r="J2" s="137"/>
    </row>
    <row r="3" ht="15.75" customHeight="1"/>
    <row r="4" ht="15.75" customHeight="1">
      <c r="B4" s="138" t="s">
        <v>245</v>
      </c>
      <c r="C4" s="139"/>
      <c r="D4" s="139"/>
      <c r="E4" s="139"/>
      <c r="F4" s="139"/>
      <c r="G4" s="139"/>
      <c r="H4" s="139"/>
      <c r="I4" s="139"/>
      <c r="J4" s="140"/>
    </row>
    <row r="5" ht="15.75" customHeight="1">
      <c r="B5" s="141"/>
      <c r="C5" s="142">
        <v>45369.0</v>
      </c>
      <c r="D5" s="142">
        <v>45370.0</v>
      </c>
      <c r="E5" s="142">
        <v>45371.0</v>
      </c>
      <c r="F5" s="142">
        <v>45372.0</v>
      </c>
      <c r="G5" s="142">
        <v>45373.0</v>
      </c>
      <c r="H5" s="142">
        <v>45374.0</v>
      </c>
      <c r="I5" s="142">
        <v>45375.0</v>
      </c>
      <c r="J5" s="143">
        <v>45376.0</v>
      </c>
    </row>
    <row r="6" ht="15.75" customHeight="1">
      <c r="B6" s="144" t="s">
        <v>246</v>
      </c>
      <c r="C6" s="40">
        <f>'Profit and Loss Statement'!G18</f>
        <v>922</v>
      </c>
      <c r="D6" s="40">
        <f>'Profit and Loss Statement'!H18</f>
        <v>889</v>
      </c>
      <c r="E6" s="40">
        <f>'Profit and Loss Statement'!I18</f>
        <v>1238</v>
      </c>
      <c r="F6" s="40">
        <f>'Profit and Loss Statement'!J18</f>
        <v>1325</v>
      </c>
      <c r="G6" s="40">
        <f>'Profit and Loss Statement'!K18</f>
        <v>410</v>
      </c>
      <c r="H6" s="40">
        <f>'Profit and Loss Statement'!L18</f>
        <v>2104</v>
      </c>
      <c r="I6" s="40">
        <f>'Profit and Loss Statement'!M18</f>
        <v>1798</v>
      </c>
      <c r="J6" s="145">
        <f>'Profit and Loss Statement'!N18</f>
        <v>2851</v>
      </c>
    </row>
    <row r="7" ht="15.75" customHeight="1">
      <c r="B7" s="144" t="s">
        <v>247</v>
      </c>
      <c r="C7" s="40">
        <f>'Profit and Loss Statement'!G3</f>
        <v>11449</v>
      </c>
      <c r="D7" s="40">
        <f>'Profit and Loss Statement'!H3</f>
        <v>12978</v>
      </c>
      <c r="E7" s="40">
        <f>'Profit and Loss Statement'!I3</f>
        <v>13442</v>
      </c>
      <c r="F7" s="40">
        <f>'Profit and Loss Statement'!J3</f>
        <v>11777</v>
      </c>
      <c r="G7" s="40">
        <f>'Profit and Loss Statement'!K3</f>
        <v>13716</v>
      </c>
      <c r="H7" s="40">
        <f>'Profit and Loss Statement'!L3</f>
        <v>18836</v>
      </c>
      <c r="I7" s="40">
        <f>'Profit and Loss Statement'!M3</f>
        <v>19957</v>
      </c>
      <c r="J7" s="145">
        <f>'Profit and Loss Statement'!N3</f>
        <v>21913</v>
      </c>
    </row>
    <row r="8" ht="15.75" customHeight="1">
      <c r="B8" s="146" t="s">
        <v>248</v>
      </c>
      <c r="C8" s="147">
        <f t="shared" ref="C8:J8" si="1">C6/C7</f>
        <v>0.08053105075</v>
      </c>
      <c r="D8" s="147">
        <f t="shared" si="1"/>
        <v>0.06850053937</v>
      </c>
      <c r="E8" s="147">
        <f t="shared" si="1"/>
        <v>0.09209938997</v>
      </c>
      <c r="F8" s="147">
        <f t="shared" si="1"/>
        <v>0.1125074297</v>
      </c>
      <c r="G8" s="147">
        <f t="shared" si="1"/>
        <v>0.02989209682</v>
      </c>
      <c r="H8" s="147">
        <f t="shared" si="1"/>
        <v>0.1117009981</v>
      </c>
      <c r="I8" s="147">
        <f t="shared" si="1"/>
        <v>0.09009370146</v>
      </c>
      <c r="J8" s="147">
        <f t="shared" si="1"/>
        <v>0.1301054169</v>
      </c>
      <c r="K8" s="148"/>
    </row>
    <row r="9" ht="15.75" customHeight="1">
      <c r="B9" s="149"/>
      <c r="C9" s="150"/>
      <c r="D9" s="150"/>
      <c r="E9" s="150"/>
      <c r="F9" s="150"/>
      <c r="G9" s="150"/>
      <c r="H9" s="151"/>
      <c r="I9" s="151"/>
      <c r="J9" s="152"/>
    </row>
    <row r="10" ht="15.75" customHeight="1">
      <c r="B10" s="144" t="s">
        <v>247</v>
      </c>
      <c r="C10" s="153">
        <f t="shared" ref="C10:J10" si="2">C7</f>
        <v>11449</v>
      </c>
      <c r="D10" s="153">
        <f t="shared" si="2"/>
        <v>12978</v>
      </c>
      <c r="E10" s="153">
        <f t="shared" si="2"/>
        <v>13442</v>
      </c>
      <c r="F10" s="153">
        <f t="shared" si="2"/>
        <v>11777</v>
      </c>
      <c r="G10" s="153">
        <f t="shared" si="2"/>
        <v>13716</v>
      </c>
      <c r="H10" s="153">
        <f t="shared" si="2"/>
        <v>18836</v>
      </c>
      <c r="I10" s="153">
        <f t="shared" si="2"/>
        <v>19957</v>
      </c>
      <c r="J10" s="154">
        <f t="shared" si="2"/>
        <v>21913</v>
      </c>
    </row>
    <row r="11" ht="15.75" customHeight="1">
      <c r="B11" s="144" t="s">
        <v>80</v>
      </c>
      <c r="C11" s="153">
        <f>'Balance Sheet'!G36</f>
        <v>22102</v>
      </c>
      <c r="D11" s="153">
        <f>'Balance Sheet'!H36</f>
        <v>23825</v>
      </c>
      <c r="E11" s="153">
        <f>'Balance Sheet'!I36</f>
        <v>22880</v>
      </c>
      <c r="F11" s="153">
        <f>'Balance Sheet'!J36</f>
        <v>22778</v>
      </c>
      <c r="G11" s="153">
        <f>'Balance Sheet'!K36</f>
        <v>23605</v>
      </c>
      <c r="H11" s="153">
        <f>'Balance Sheet'!L36</f>
        <v>25988</v>
      </c>
      <c r="I11" s="153">
        <f>'Balance Sheet'!M36</f>
        <v>29191</v>
      </c>
      <c r="J11" s="154">
        <f>'Balance Sheet'!N36</f>
        <v>31659</v>
      </c>
      <c r="K11" s="153"/>
    </row>
    <row r="12" ht="15.75" customHeight="1">
      <c r="B12" s="146" t="s">
        <v>249</v>
      </c>
      <c r="C12" s="155">
        <f t="shared" ref="C12:J12" si="3">C10/C11</f>
        <v>0.5180074201</v>
      </c>
      <c r="D12" s="155">
        <f t="shared" si="3"/>
        <v>0.5447219307</v>
      </c>
      <c r="E12" s="155">
        <f t="shared" si="3"/>
        <v>0.5875</v>
      </c>
      <c r="F12" s="155">
        <f t="shared" si="3"/>
        <v>0.5170339802</v>
      </c>
      <c r="G12" s="155">
        <f t="shared" si="3"/>
        <v>0.581063334</v>
      </c>
      <c r="H12" s="155">
        <f t="shared" si="3"/>
        <v>0.7247960597</v>
      </c>
      <c r="I12" s="155">
        <f t="shared" si="3"/>
        <v>0.6836696242</v>
      </c>
      <c r="J12" s="156">
        <f t="shared" si="3"/>
        <v>0.6921570485</v>
      </c>
    </row>
    <row r="13" ht="15.75" customHeight="1">
      <c r="B13" s="149"/>
      <c r="C13" s="150"/>
      <c r="D13" s="150"/>
      <c r="E13" s="150"/>
      <c r="F13" s="150"/>
      <c r="G13" s="150"/>
      <c r="H13" s="151"/>
      <c r="I13" s="151"/>
      <c r="J13" s="152"/>
    </row>
    <row r="14" ht="15.75" customHeight="1">
      <c r="B14" s="144" t="s">
        <v>80</v>
      </c>
      <c r="C14" s="153">
        <f t="shared" ref="C14:J14" si="4">C11</f>
        <v>22102</v>
      </c>
      <c r="D14" s="153">
        <f t="shared" si="4"/>
        <v>23825</v>
      </c>
      <c r="E14" s="153">
        <f t="shared" si="4"/>
        <v>22880</v>
      </c>
      <c r="F14" s="153">
        <f t="shared" si="4"/>
        <v>22778</v>
      </c>
      <c r="G14" s="153">
        <f t="shared" si="4"/>
        <v>23605</v>
      </c>
      <c r="H14" s="153">
        <f t="shared" si="4"/>
        <v>25988</v>
      </c>
      <c r="I14" s="153">
        <f t="shared" si="4"/>
        <v>29191</v>
      </c>
      <c r="J14" s="154">
        <f t="shared" si="4"/>
        <v>31659</v>
      </c>
    </row>
    <row r="15" ht="15.75" customHeight="1">
      <c r="B15" s="144" t="s">
        <v>250</v>
      </c>
      <c r="C15" s="153">
        <f>'Balance Sheet'!G3+'Balance Sheet'!G4</f>
        <v>7693</v>
      </c>
      <c r="D15" s="153">
        <f>'Balance Sheet'!H3+'Balance Sheet'!H4</f>
        <v>8937</v>
      </c>
      <c r="E15" s="153">
        <f>'Balance Sheet'!I3+'Balance Sheet'!I4</f>
        <v>9188</v>
      </c>
      <c r="F15" s="153">
        <f>'Balance Sheet'!J3+'Balance Sheet'!J4</f>
        <v>10252</v>
      </c>
      <c r="G15" s="153">
        <f>'Balance Sheet'!K3+'Balance Sheet'!K4</f>
        <v>9966</v>
      </c>
      <c r="H15" s="153">
        <f>'Balance Sheet'!L3+'Balance Sheet'!L4</f>
        <v>11020</v>
      </c>
      <c r="I15" s="153">
        <f>'Balance Sheet'!M3+'Balance Sheet'!M4</f>
        <v>12039</v>
      </c>
      <c r="J15" s="154">
        <f>'Balance Sheet'!N3+'Balance Sheet'!N4</f>
        <v>17456</v>
      </c>
      <c r="L15" s="157"/>
      <c r="M15" s="157"/>
      <c r="N15" s="157"/>
      <c r="O15" s="157"/>
      <c r="P15" s="157"/>
      <c r="Q15" s="157"/>
      <c r="R15" s="157"/>
      <c r="S15" s="157"/>
    </row>
    <row r="16" ht="15.75" customHeight="1">
      <c r="B16" s="146" t="s">
        <v>251</v>
      </c>
      <c r="C16" s="155">
        <f t="shared" ref="C16:J16" si="5">C14/C15</f>
        <v>2.87300143</v>
      </c>
      <c r="D16" s="155">
        <f t="shared" si="5"/>
        <v>2.665883406</v>
      </c>
      <c r="E16" s="155">
        <f t="shared" si="5"/>
        <v>2.490204615</v>
      </c>
      <c r="F16" s="155">
        <f t="shared" si="5"/>
        <v>2.221810378</v>
      </c>
      <c r="G16" s="155">
        <f t="shared" si="5"/>
        <v>2.36855308</v>
      </c>
      <c r="H16" s="155">
        <f t="shared" si="5"/>
        <v>2.358257713</v>
      </c>
      <c r="I16" s="155">
        <f t="shared" si="5"/>
        <v>2.424703048</v>
      </c>
      <c r="J16" s="156">
        <f t="shared" si="5"/>
        <v>1.813645738</v>
      </c>
    </row>
    <row r="17" ht="15.75" customHeight="1">
      <c r="B17" s="149"/>
      <c r="C17" s="151"/>
      <c r="D17" s="151"/>
      <c r="E17" s="151"/>
      <c r="F17" s="151"/>
      <c r="G17" s="151"/>
      <c r="H17" s="151"/>
      <c r="I17" s="151"/>
      <c r="J17" s="152"/>
    </row>
    <row r="18" ht="15.75" customHeight="1">
      <c r="B18" s="158" t="s">
        <v>252</v>
      </c>
      <c r="C18" s="159">
        <f t="shared" ref="C18:J18" si="6">C8*C12*C16</f>
        <v>0.1198492136</v>
      </c>
      <c r="D18" s="159">
        <f t="shared" si="6"/>
        <v>0.09947409645</v>
      </c>
      <c r="E18" s="159">
        <f t="shared" si="6"/>
        <v>0.1347409665</v>
      </c>
      <c r="F18" s="159">
        <f t="shared" si="6"/>
        <v>0.1292430745</v>
      </c>
      <c r="G18" s="159">
        <f t="shared" si="6"/>
        <v>0.04113987558</v>
      </c>
      <c r="H18" s="159">
        <f t="shared" si="6"/>
        <v>0.1909255898</v>
      </c>
      <c r="I18" s="159">
        <f t="shared" si="6"/>
        <v>0.1493479525</v>
      </c>
      <c r="J18" s="159">
        <f t="shared" si="6"/>
        <v>0.1633249313</v>
      </c>
      <c r="K18" s="160" t="s">
        <v>253</v>
      </c>
      <c r="L18" s="10"/>
      <c r="M18" s="10"/>
      <c r="N18" s="11"/>
    </row>
    <row r="19" ht="15.75" customHeight="1">
      <c r="B19" s="149"/>
      <c r="C19" s="161">
        <v>0.11984921357077864</v>
      </c>
      <c r="D19" s="161">
        <v>0.09947409645294841</v>
      </c>
      <c r="E19" s="161">
        <v>0.1347409664780148</v>
      </c>
      <c r="F19" s="161">
        <v>0.12924307452204448</v>
      </c>
      <c r="G19" s="161">
        <v>0.04113987557696168</v>
      </c>
      <c r="H19" s="161">
        <v>0.19092558983666064</v>
      </c>
      <c r="I19" s="161">
        <v>0.14934795248774815</v>
      </c>
      <c r="J19" s="161">
        <v>0.16332493125572867</v>
      </c>
      <c r="K19" s="14"/>
      <c r="L19" s="15"/>
      <c r="M19" s="15"/>
      <c r="N19" s="16"/>
      <c r="O19" s="162"/>
    </row>
    <row r="20" ht="15.75" customHeight="1">
      <c r="B20" s="163" t="s">
        <v>254</v>
      </c>
      <c r="C20" s="136"/>
      <c r="D20" s="136"/>
      <c r="E20" s="136"/>
      <c r="F20" s="136"/>
      <c r="G20" s="136"/>
      <c r="H20" s="136"/>
      <c r="I20" s="164"/>
      <c r="J20" s="165"/>
      <c r="L20" s="166"/>
    </row>
    <row r="21" ht="15.75" customHeight="1">
      <c r="B21" s="167"/>
      <c r="C21" s="168">
        <v>45369.0</v>
      </c>
      <c r="D21" s="168">
        <v>45370.0</v>
      </c>
      <c r="E21" s="168">
        <v>45371.0</v>
      </c>
      <c r="F21" s="168">
        <v>45372.0</v>
      </c>
      <c r="G21" s="168">
        <v>45373.0</v>
      </c>
      <c r="H21" s="168">
        <v>45374.0</v>
      </c>
      <c r="I21" s="168">
        <v>45375.0</v>
      </c>
      <c r="J21" s="169">
        <v>45376.0</v>
      </c>
    </row>
    <row r="22" ht="15.75" customHeight="1">
      <c r="B22" s="144" t="s">
        <v>246</v>
      </c>
      <c r="C22" s="170">
        <f t="shared" ref="C22:J22" si="7">C6</f>
        <v>922</v>
      </c>
      <c r="D22" s="170">
        <f t="shared" si="7"/>
        <v>889</v>
      </c>
      <c r="E22" s="170">
        <f t="shared" si="7"/>
        <v>1238</v>
      </c>
      <c r="F22" s="170">
        <f t="shared" si="7"/>
        <v>1325</v>
      </c>
      <c r="G22" s="170">
        <f t="shared" si="7"/>
        <v>410</v>
      </c>
      <c r="H22" s="170">
        <f t="shared" si="7"/>
        <v>2104</v>
      </c>
      <c r="I22" s="170">
        <f t="shared" si="7"/>
        <v>1798</v>
      </c>
      <c r="J22" s="171">
        <f t="shared" si="7"/>
        <v>2851</v>
      </c>
    </row>
    <row r="23" ht="15.75" customHeight="1">
      <c r="B23" s="144" t="s">
        <v>247</v>
      </c>
      <c r="C23" s="153">
        <f t="shared" ref="C23:J23" si="8">C7</f>
        <v>11449</v>
      </c>
      <c r="D23" s="153">
        <f t="shared" si="8"/>
        <v>12978</v>
      </c>
      <c r="E23" s="153">
        <f t="shared" si="8"/>
        <v>13442</v>
      </c>
      <c r="F23" s="153">
        <f t="shared" si="8"/>
        <v>11777</v>
      </c>
      <c r="G23" s="153">
        <f t="shared" si="8"/>
        <v>13716</v>
      </c>
      <c r="H23" s="153">
        <f t="shared" si="8"/>
        <v>18836</v>
      </c>
      <c r="I23" s="153">
        <f t="shared" si="8"/>
        <v>19957</v>
      </c>
      <c r="J23" s="154">
        <f t="shared" si="8"/>
        <v>21913</v>
      </c>
    </row>
    <row r="24" ht="15.75" customHeight="1">
      <c r="B24" s="146" t="s">
        <v>248</v>
      </c>
      <c r="C24" s="147">
        <f t="shared" ref="C24:J24" si="9">C8</f>
        <v>0.08053105075</v>
      </c>
      <c r="D24" s="147">
        <f t="shared" si="9"/>
        <v>0.06850053937</v>
      </c>
      <c r="E24" s="147">
        <f t="shared" si="9"/>
        <v>0.09209938997</v>
      </c>
      <c r="F24" s="147">
        <f t="shared" si="9"/>
        <v>0.1125074297</v>
      </c>
      <c r="G24" s="147">
        <f t="shared" si="9"/>
        <v>0.02989209682</v>
      </c>
      <c r="H24" s="147">
        <f t="shared" si="9"/>
        <v>0.1117009981</v>
      </c>
      <c r="I24" s="147">
        <f t="shared" si="9"/>
        <v>0.09009370146</v>
      </c>
      <c r="J24" s="172">
        <f t="shared" si="9"/>
        <v>0.1301054169</v>
      </c>
    </row>
    <row r="25" ht="15.75" customHeight="1">
      <c r="B25" s="149"/>
      <c r="C25" s="151"/>
      <c r="D25" s="151"/>
      <c r="E25" s="151"/>
      <c r="F25" s="151"/>
      <c r="G25" s="151"/>
      <c r="H25" s="151"/>
      <c r="I25" s="151"/>
      <c r="J25" s="152"/>
    </row>
    <row r="26" ht="15.75" customHeight="1">
      <c r="B26" s="144" t="s">
        <v>247</v>
      </c>
      <c r="C26" s="153">
        <f t="shared" ref="C26:J26" si="10">C10</f>
        <v>11449</v>
      </c>
      <c r="D26" s="153">
        <f t="shared" si="10"/>
        <v>12978</v>
      </c>
      <c r="E26" s="153">
        <f t="shared" si="10"/>
        <v>13442</v>
      </c>
      <c r="F26" s="153">
        <f t="shared" si="10"/>
        <v>11777</v>
      </c>
      <c r="G26" s="153">
        <f t="shared" si="10"/>
        <v>13716</v>
      </c>
      <c r="H26" s="153">
        <f t="shared" si="10"/>
        <v>18836</v>
      </c>
      <c r="I26" s="153">
        <f t="shared" si="10"/>
        <v>19957</v>
      </c>
      <c r="J26" s="154">
        <f t="shared" si="10"/>
        <v>21913</v>
      </c>
    </row>
    <row r="27" ht="15.75" customHeight="1">
      <c r="B27" s="144" t="s">
        <v>80</v>
      </c>
      <c r="C27" s="153">
        <f t="shared" ref="C27:J27" si="11">C11</f>
        <v>22102</v>
      </c>
      <c r="D27" s="153">
        <f t="shared" si="11"/>
        <v>23825</v>
      </c>
      <c r="E27" s="153">
        <f t="shared" si="11"/>
        <v>22880</v>
      </c>
      <c r="F27" s="153">
        <f t="shared" si="11"/>
        <v>22778</v>
      </c>
      <c r="G27" s="153">
        <f t="shared" si="11"/>
        <v>23605</v>
      </c>
      <c r="H27" s="153">
        <f t="shared" si="11"/>
        <v>25988</v>
      </c>
      <c r="I27" s="153">
        <f t="shared" si="11"/>
        <v>29191</v>
      </c>
      <c r="J27" s="154">
        <f t="shared" si="11"/>
        <v>31659</v>
      </c>
    </row>
    <row r="28" ht="15.75" customHeight="1">
      <c r="B28" s="146" t="s">
        <v>249</v>
      </c>
      <c r="C28" s="155">
        <f t="shared" ref="C28:J28" si="12">C12</f>
        <v>0.5180074201</v>
      </c>
      <c r="D28" s="155">
        <f t="shared" si="12"/>
        <v>0.5447219307</v>
      </c>
      <c r="E28" s="155">
        <f t="shared" si="12"/>
        <v>0.5875</v>
      </c>
      <c r="F28" s="155">
        <f t="shared" si="12"/>
        <v>0.5170339802</v>
      </c>
      <c r="G28" s="155">
        <f t="shared" si="12"/>
        <v>0.581063334</v>
      </c>
      <c r="H28" s="155">
        <f t="shared" si="12"/>
        <v>0.7247960597</v>
      </c>
      <c r="I28" s="155">
        <f t="shared" si="12"/>
        <v>0.6836696242</v>
      </c>
      <c r="J28" s="156">
        <f t="shared" si="12"/>
        <v>0.6921570485</v>
      </c>
    </row>
    <row r="29" ht="15.75" customHeight="1">
      <c r="B29" s="149"/>
      <c r="C29" s="151"/>
      <c r="D29" s="151"/>
      <c r="E29" s="151"/>
      <c r="F29" s="151"/>
      <c r="G29" s="151"/>
      <c r="H29" s="151"/>
      <c r="I29" s="151"/>
      <c r="J29" s="152"/>
    </row>
    <row r="30" ht="15.75" customHeight="1">
      <c r="B30" s="158" t="s">
        <v>255</v>
      </c>
      <c r="C30" s="159">
        <f t="shared" ref="C30:J30" si="13">C24*C28</f>
        <v>0.04171568184</v>
      </c>
      <c r="D30" s="159">
        <f t="shared" si="13"/>
        <v>0.03731374607</v>
      </c>
      <c r="E30" s="159">
        <f t="shared" si="13"/>
        <v>0.05410839161</v>
      </c>
      <c r="F30" s="159">
        <f t="shared" si="13"/>
        <v>0.05817016419</v>
      </c>
      <c r="G30" s="159">
        <f t="shared" si="13"/>
        <v>0.01736920144</v>
      </c>
      <c r="H30" s="159">
        <f t="shared" si="13"/>
        <v>0.08096044328</v>
      </c>
      <c r="I30" s="159">
        <f t="shared" si="13"/>
        <v>0.06159432702</v>
      </c>
      <c r="J30" s="159">
        <f t="shared" si="13"/>
        <v>0.09005338134</v>
      </c>
      <c r="K30" s="160" t="s">
        <v>253</v>
      </c>
      <c r="L30" s="10"/>
      <c r="M30" s="10"/>
      <c r="N30" s="11"/>
      <c r="O30" s="162"/>
    </row>
    <row r="31" ht="15.75" customHeight="1">
      <c r="B31" s="173"/>
      <c r="C31" s="174">
        <v>0.041715681838747624</v>
      </c>
      <c r="D31" s="174">
        <v>0.03731374606505771</v>
      </c>
      <c r="E31" s="174">
        <v>0.05410839160839161</v>
      </c>
      <c r="F31" s="174">
        <v>0.0581</v>
      </c>
      <c r="G31" s="174">
        <v>0.0173</v>
      </c>
      <c r="H31" s="174">
        <v>0.0809</v>
      </c>
      <c r="I31" s="174">
        <v>0.0615</v>
      </c>
      <c r="J31" s="175">
        <v>0.09</v>
      </c>
      <c r="K31" s="14"/>
      <c r="L31" s="15"/>
      <c r="M31" s="15"/>
      <c r="N31" s="16"/>
    </row>
    <row r="32" ht="15.75" customHeight="1">
      <c r="C32" s="176"/>
      <c r="D32" s="162"/>
      <c r="E32" s="162"/>
      <c r="K32" s="162"/>
    </row>
    <row r="33" ht="15.75" customHeight="1">
      <c r="C33" s="166"/>
      <c r="F33" s="177"/>
    </row>
    <row r="34" ht="15.75" customHeight="1">
      <c r="D34" s="162"/>
    </row>
    <row r="35" ht="15.75" customHeight="1">
      <c r="C35" s="166"/>
    </row>
    <row r="36" ht="15.75" customHeight="1">
      <c r="B36" s="29"/>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2:J2"/>
    <mergeCell ref="B3:J3"/>
    <mergeCell ref="B4:J4"/>
    <mergeCell ref="K8:S8"/>
    <mergeCell ref="K18:N19"/>
    <mergeCell ref="B20:I20"/>
    <mergeCell ref="K30:N3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1.22" defaultRowHeight="15.0"/>
  <cols>
    <col customWidth="1" min="1" max="1" width="10.56"/>
    <col customWidth="1" min="2" max="2" width="19.67"/>
    <col customWidth="1" min="3" max="3" width="19.0"/>
    <col customWidth="1" min="4" max="4" width="15.0"/>
    <col customWidth="1" min="5" max="5" width="10.56"/>
    <col customWidth="1" min="6" max="6" width="20.78"/>
    <col customWidth="1" min="7" max="7" width="23.89"/>
    <col customWidth="1" min="8" max="8" width="10.56"/>
    <col customWidth="1" min="9" max="9" width="27.89"/>
    <col customWidth="1" min="10" max="10" width="23.67"/>
    <col customWidth="1" min="11" max="11" width="18.78"/>
    <col customWidth="1" min="12" max="12" width="15.67"/>
    <col customWidth="1" min="13" max="18" width="10.56"/>
    <col customWidth="1" min="19" max="19" width="15.11"/>
    <col customWidth="1" min="20" max="20" width="25.89"/>
    <col customWidth="1" min="21" max="21" width="19.44"/>
    <col customWidth="1" min="22" max="24" width="10.56"/>
    <col customWidth="1" min="25" max="25" width="23.0"/>
    <col customWidth="1" min="26" max="26" width="26.33"/>
    <col customWidth="1" min="27" max="27" width="10.56"/>
    <col customWidth="1" min="28" max="28" width="21.44"/>
    <col customWidth="1" min="29" max="29" width="21.89"/>
    <col customWidth="1" min="30" max="30" width="10.56"/>
    <col customWidth="1" min="31" max="31" width="18.11"/>
    <col customWidth="1" min="32" max="32" width="15.67"/>
    <col customWidth="1" min="33" max="33" width="10.56"/>
    <col customWidth="1" min="34" max="34" width="15.0"/>
    <col customWidth="1" min="35" max="35" width="13.89"/>
  </cols>
  <sheetData>
    <row r="1" ht="32.25" customHeight="1">
      <c r="B1" s="178"/>
      <c r="Y1" s="179"/>
      <c r="Z1" s="180"/>
      <c r="AB1" s="181" t="s">
        <v>256</v>
      </c>
      <c r="AC1" s="182"/>
      <c r="AD1" s="182"/>
      <c r="AE1" s="183"/>
      <c r="AF1" s="180"/>
      <c r="AH1" s="179"/>
      <c r="AI1" s="180"/>
    </row>
    <row r="2" ht="29.25" customHeight="1">
      <c r="B2" s="184"/>
      <c r="C2" s="185" t="s">
        <v>257</v>
      </c>
      <c r="D2" s="3"/>
      <c r="F2" s="186" t="s">
        <v>258</v>
      </c>
      <c r="G2" s="3"/>
      <c r="J2" s="187" t="s">
        <v>259</v>
      </c>
      <c r="K2" s="188"/>
      <c r="Y2" s="179"/>
      <c r="Z2" s="180"/>
      <c r="AB2" s="179"/>
      <c r="AC2" s="180"/>
      <c r="AE2" s="179"/>
      <c r="AF2" s="180"/>
      <c r="AH2" s="179"/>
      <c r="AI2" s="180"/>
    </row>
    <row r="3" ht="29.25" customHeight="1">
      <c r="B3" s="184" t="s">
        <v>260</v>
      </c>
      <c r="C3" s="189" t="s">
        <v>261</v>
      </c>
      <c r="D3" s="189" t="s">
        <v>262</v>
      </c>
      <c r="E3" s="81"/>
      <c r="F3" s="189" t="s">
        <v>261</v>
      </c>
      <c r="G3" s="189" t="s">
        <v>262</v>
      </c>
      <c r="J3" s="190"/>
      <c r="K3" s="191"/>
      <c r="Y3" s="192" t="s">
        <v>263</v>
      </c>
      <c r="Z3" s="3"/>
      <c r="AA3" s="193"/>
      <c r="AB3" s="194" t="s">
        <v>264</v>
      </c>
      <c r="AC3" s="195"/>
      <c r="AD3" s="193"/>
      <c r="AE3" s="196" t="s">
        <v>265</v>
      </c>
      <c r="AF3" s="3"/>
      <c r="AG3" s="193"/>
      <c r="AH3" s="197" t="s">
        <v>266</v>
      </c>
      <c r="AI3" s="3"/>
    </row>
    <row r="4" ht="15.75" customHeight="1">
      <c r="A4" s="198"/>
      <c r="B4" s="199">
        <v>45683.0</v>
      </c>
      <c r="C4" s="200">
        <v>23508.4</v>
      </c>
      <c r="D4" s="201">
        <f t="shared" ref="D4:D210" si="1">(C4-C5)/C5</f>
        <v>0.01802340184</v>
      </c>
      <c r="E4" s="81"/>
      <c r="F4" s="200">
        <v>1463.45</v>
      </c>
      <c r="G4" s="201">
        <f t="shared" ref="G4:G210" si="2">(F4-F5)/F5</f>
        <v>-0.004252568551</v>
      </c>
      <c r="J4" s="202" t="s">
        <v>267</v>
      </c>
      <c r="K4" s="203">
        <f>J18</f>
        <v>0.98885811</v>
      </c>
      <c r="Y4" s="189" t="s">
        <v>261</v>
      </c>
      <c r="Z4" s="189" t="s">
        <v>262</v>
      </c>
      <c r="AB4" s="189" t="s">
        <v>261</v>
      </c>
      <c r="AC4" s="189" t="s">
        <v>262</v>
      </c>
      <c r="AD4" s="81"/>
      <c r="AE4" s="189" t="s">
        <v>261</v>
      </c>
      <c r="AF4" s="189" t="s">
        <v>262</v>
      </c>
      <c r="AG4" s="81"/>
      <c r="AH4" s="189" t="s">
        <v>261</v>
      </c>
      <c r="AI4" s="189" t="s">
        <v>262</v>
      </c>
    </row>
    <row r="5" ht="15.75" customHeight="1">
      <c r="A5" s="198"/>
      <c r="B5" s="199">
        <v>45676.0</v>
      </c>
      <c r="C5" s="200">
        <v>23092.2</v>
      </c>
      <c r="D5" s="201">
        <f t="shared" si="1"/>
        <v>-0.004783822921</v>
      </c>
      <c r="E5" s="81"/>
      <c r="F5" s="200">
        <v>1469.7</v>
      </c>
      <c r="G5" s="201">
        <f t="shared" si="2"/>
        <v>-0.004942450914</v>
      </c>
      <c r="J5" s="190" t="s">
        <v>268</v>
      </c>
      <c r="K5" s="204">
        <v>0.75</v>
      </c>
      <c r="Y5" s="205" t="s">
        <v>269</v>
      </c>
      <c r="Z5" s="206">
        <v>0.0011</v>
      </c>
      <c r="AA5" s="207"/>
      <c r="AB5" s="208">
        <v>301.65</v>
      </c>
      <c r="AC5" s="209">
        <v>0.0196</v>
      </c>
      <c r="AD5" s="207"/>
      <c r="AE5" s="210">
        <v>80.55</v>
      </c>
      <c r="AF5" s="206">
        <v>0.0477</v>
      </c>
      <c r="AG5" s="207"/>
      <c r="AH5" s="210">
        <v>997.55</v>
      </c>
      <c r="AI5" s="206">
        <v>-0.0144</v>
      </c>
    </row>
    <row r="6" ht="15.75" customHeight="1">
      <c r="A6" s="198"/>
      <c r="B6" s="199">
        <v>45669.0</v>
      </c>
      <c r="C6" s="200">
        <v>23203.2</v>
      </c>
      <c r="D6" s="201">
        <f t="shared" si="1"/>
        <v>-0.009743294283</v>
      </c>
      <c r="E6" s="81"/>
      <c r="F6" s="200">
        <v>1477.0</v>
      </c>
      <c r="G6" s="201">
        <f t="shared" si="2"/>
        <v>0.08742867661</v>
      </c>
      <c r="J6" s="190"/>
      <c r="K6" s="203"/>
      <c r="Y6" s="205">
        <v>323.65</v>
      </c>
      <c r="Z6" s="206">
        <v>-0.0077</v>
      </c>
      <c r="AA6" s="207"/>
      <c r="AB6" s="208">
        <v>295.85</v>
      </c>
      <c r="AC6" s="209">
        <v>-0.0223</v>
      </c>
      <c r="AD6" s="207"/>
      <c r="AE6" s="210">
        <v>76.88</v>
      </c>
      <c r="AF6" s="206">
        <v>-0.0438</v>
      </c>
      <c r="AG6" s="207"/>
      <c r="AH6" s="211">
        <v>1012.1</v>
      </c>
      <c r="AI6" s="206">
        <v>-0.0613</v>
      </c>
    </row>
    <row r="7" ht="15.75" customHeight="1">
      <c r="A7" s="198"/>
      <c r="B7" s="199">
        <v>45662.0</v>
      </c>
      <c r="C7" s="200">
        <v>23431.5</v>
      </c>
      <c r="D7" s="201">
        <f t="shared" si="1"/>
        <v>-0.02388069028</v>
      </c>
      <c r="E7" s="81"/>
      <c r="F7" s="200">
        <v>1358.25</v>
      </c>
      <c r="G7" s="201">
        <f t="shared" si="2"/>
        <v>-0.1025471605</v>
      </c>
      <c r="J7" s="190" t="s">
        <v>270</v>
      </c>
      <c r="K7" s="203">
        <v>1.0</v>
      </c>
      <c r="Y7" s="205">
        <v>326.15</v>
      </c>
      <c r="Z7" s="206">
        <v>0.0581</v>
      </c>
      <c r="AA7" s="207"/>
      <c r="AB7" s="208">
        <v>302.6</v>
      </c>
      <c r="AC7" s="209">
        <v>0.0097</v>
      </c>
      <c r="AD7" s="207"/>
      <c r="AE7" s="210">
        <v>80.4</v>
      </c>
      <c r="AF7" s="206">
        <v>0.0496</v>
      </c>
      <c r="AG7" s="207"/>
      <c r="AH7" s="211">
        <v>1078.2</v>
      </c>
      <c r="AI7" s="206">
        <v>0.1433</v>
      </c>
    </row>
    <row r="8" ht="15.75" customHeight="1">
      <c r="A8" s="198"/>
      <c r="B8" s="199">
        <v>45655.0</v>
      </c>
      <c r="C8" s="200">
        <v>24004.75</v>
      </c>
      <c r="D8" s="201">
        <f t="shared" si="1"/>
        <v>0.008035391838</v>
      </c>
      <c r="E8" s="81"/>
      <c r="F8" s="200">
        <v>1513.45</v>
      </c>
      <c r="G8" s="201">
        <f t="shared" si="2"/>
        <v>0.04271590478</v>
      </c>
      <c r="J8" s="190" t="s">
        <v>271</v>
      </c>
      <c r="K8" s="204">
        <f>1-K5</f>
        <v>0.25</v>
      </c>
      <c r="Y8" s="205">
        <v>308.25</v>
      </c>
      <c r="Z8" s="206">
        <v>-0.093</v>
      </c>
      <c r="AA8" s="207"/>
      <c r="AB8" s="208">
        <v>299.7</v>
      </c>
      <c r="AC8" s="209">
        <v>-0.0517</v>
      </c>
      <c r="AD8" s="207"/>
      <c r="AE8" s="210">
        <v>76.6</v>
      </c>
      <c r="AF8" s="206">
        <v>-0.0781</v>
      </c>
      <c r="AG8" s="207"/>
      <c r="AH8" s="210">
        <v>943.05</v>
      </c>
      <c r="AI8" s="206">
        <v>-0.0917</v>
      </c>
    </row>
    <row r="9" ht="15.75" customHeight="1">
      <c r="A9" s="198"/>
      <c r="B9" s="199">
        <v>45648.0</v>
      </c>
      <c r="C9" s="200">
        <v>23813.4</v>
      </c>
      <c r="D9" s="201">
        <f t="shared" si="1"/>
        <v>0.009577106518</v>
      </c>
      <c r="E9" s="81"/>
      <c r="F9" s="200">
        <v>1451.45</v>
      </c>
      <c r="G9" s="201">
        <f t="shared" si="2"/>
        <v>-0.01876014062</v>
      </c>
      <c r="J9" s="212"/>
      <c r="K9" s="213"/>
      <c r="Y9" s="205">
        <v>339.85</v>
      </c>
      <c r="Z9" s="206">
        <v>0.0145</v>
      </c>
      <c r="AA9" s="207"/>
      <c r="AB9" s="208">
        <v>316.05</v>
      </c>
      <c r="AC9" s="209">
        <v>0.0215</v>
      </c>
      <c r="AD9" s="207"/>
      <c r="AE9" s="210">
        <v>83.09</v>
      </c>
      <c r="AF9" s="206">
        <v>0.0344</v>
      </c>
      <c r="AG9" s="207"/>
      <c r="AH9" s="211">
        <v>1038.25</v>
      </c>
      <c r="AI9" s="206">
        <v>-0.0149</v>
      </c>
    </row>
    <row r="10" ht="15.75" customHeight="1">
      <c r="A10" s="198"/>
      <c r="B10" s="199">
        <v>45641.0</v>
      </c>
      <c r="C10" s="200">
        <v>23587.5</v>
      </c>
      <c r="D10" s="201">
        <f t="shared" si="1"/>
        <v>-0.04767384116</v>
      </c>
      <c r="E10" s="81"/>
      <c r="F10" s="200">
        <v>1479.2</v>
      </c>
      <c r="G10" s="201">
        <f t="shared" si="2"/>
        <v>-0.113826983</v>
      </c>
      <c r="J10" s="214" t="s">
        <v>272</v>
      </c>
      <c r="K10" s="215">
        <f>K4*K5+K7*K8</f>
        <v>0.9916435825</v>
      </c>
      <c r="Y10" s="205">
        <v>335.0</v>
      </c>
      <c r="Z10" s="206">
        <v>0.0053</v>
      </c>
      <c r="AA10" s="207"/>
      <c r="AB10" s="208">
        <v>309.4</v>
      </c>
      <c r="AC10" s="209">
        <v>-0.0203</v>
      </c>
      <c r="AD10" s="207"/>
      <c r="AE10" s="210">
        <v>80.33</v>
      </c>
      <c r="AF10" s="206">
        <v>-0.014</v>
      </c>
      <c r="AG10" s="207"/>
      <c r="AH10" s="211">
        <v>1054.0</v>
      </c>
      <c r="AI10" s="206">
        <v>0.019</v>
      </c>
    </row>
    <row r="11" ht="15.75" customHeight="1">
      <c r="A11" s="198"/>
      <c r="B11" s="199">
        <v>45634.0</v>
      </c>
      <c r="C11" s="200">
        <v>24768.3</v>
      </c>
      <c r="D11" s="201">
        <f t="shared" si="1"/>
        <v>0.003667263694</v>
      </c>
      <c r="E11" s="81"/>
      <c r="F11" s="200">
        <v>1669.2</v>
      </c>
      <c r="G11" s="201">
        <f t="shared" si="2"/>
        <v>0.01246474388</v>
      </c>
      <c r="Y11" s="205">
        <v>333.25</v>
      </c>
      <c r="Z11" s="206">
        <v>-0.0669</v>
      </c>
      <c r="AA11" s="207"/>
      <c r="AB11" s="208">
        <v>315.8</v>
      </c>
      <c r="AC11" s="209">
        <v>-0.0541</v>
      </c>
      <c r="AD11" s="207"/>
      <c r="AE11" s="210">
        <v>81.47</v>
      </c>
      <c r="AF11" s="206">
        <v>-0.0465</v>
      </c>
      <c r="AG11" s="207"/>
      <c r="AH11" s="211">
        <v>1034.35</v>
      </c>
      <c r="AI11" s="206">
        <v>-0.1369</v>
      </c>
    </row>
    <row r="12" ht="15.75" customHeight="1">
      <c r="A12" s="198"/>
      <c r="B12" s="199">
        <v>45627.0</v>
      </c>
      <c r="C12" s="200">
        <v>24677.8</v>
      </c>
      <c r="D12" s="201">
        <f t="shared" si="1"/>
        <v>0.02265541148</v>
      </c>
      <c r="E12" s="81"/>
      <c r="F12" s="200">
        <v>1648.65</v>
      </c>
      <c r="G12" s="201">
        <f t="shared" si="2"/>
        <v>0.09131528431</v>
      </c>
      <c r="Y12" s="205">
        <v>357.15</v>
      </c>
      <c r="Z12" s="206">
        <v>-0.0334</v>
      </c>
      <c r="AA12" s="207"/>
      <c r="AB12" s="208">
        <v>333.85</v>
      </c>
      <c r="AC12" s="209">
        <v>0.0151</v>
      </c>
      <c r="AD12" s="207"/>
      <c r="AE12" s="210">
        <v>85.44</v>
      </c>
      <c r="AF12" s="206">
        <v>0.0067</v>
      </c>
      <c r="AG12" s="207"/>
      <c r="AH12" s="211">
        <v>1198.4</v>
      </c>
      <c r="AI12" s="206">
        <v>-0.0101</v>
      </c>
    </row>
    <row r="13" ht="15.75" customHeight="1">
      <c r="A13" s="198"/>
      <c r="B13" s="199">
        <v>45620.0</v>
      </c>
      <c r="C13" s="200">
        <v>24131.1</v>
      </c>
      <c r="D13" s="201">
        <f t="shared" si="1"/>
        <v>0.009363268465</v>
      </c>
      <c r="E13" s="81"/>
      <c r="F13" s="200">
        <v>1510.7</v>
      </c>
      <c r="G13" s="201">
        <f t="shared" si="2"/>
        <v>-0.004415447476</v>
      </c>
      <c r="Y13" s="205">
        <v>369.5</v>
      </c>
      <c r="Z13" s="206">
        <v>0.0161</v>
      </c>
      <c r="AA13" s="207"/>
      <c r="AB13" s="208">
        <v>328.9</v>
      </c>
      <c r="AC13" s="209">
        <v>-0.0015</v>
      </c>
      <c r="AD13" s="207"/>
      <c r="AE13" s="210">
        <v>84.87</v>
      </c>
      <c r="AF13" s="206">
        <v>0.0421</v>
      </c>
      <c r="AG13" s="207"/>
      <c r="AH13" s="211">
        <v>1210.65</v>
      </c>
      <c r="AI13" s="206">
        <v>-0.0855</v>
      </c>
    </row>
    <row r="14" ht="15.75" customHeight="1">
      <c r="A14" s="198"/>
      <c r="B14" s="199">
        <v>45613.0</v>
      </c>
      <c r="C14" s="200">
        <v>23907.25</v>
      </c>
      <c r="D14" s="201">
        <f t="shared" si="1"/>
        <v>0.01591615072</v>
      </c>
      <c r="E14" s="81"/>
      <c r="F14" s="200">
        <v>1517.4</v>
      </c>
      <c r="G14" s="201">
        <f t="shared" si="2"/>
        <v>-0.02668377165</v>
      </c>
      <c r="T14" s="216" t="s">
        <v>273</v>
      </c>
      <c r="U14" s="188"/>
      <c r="Y14" s="205">
        <v>363.65</v>
      </c>
      <c r="Z14" s="206">
        <v>-0.0049</v>
      </c>
      <c r="AA14" s="207"/>
      <c r="AB14" s="208">
        <v>329.4</v>
      </c>
      <c r="AC14" s="209">
        <v>-0.0224</v>
      </c>
      <c r="AD14" s="207"/>
      <c r="AE14" s="210">
        <v>81.44</v>
      </c>
      <c r="AF14" s="206">
        <v>0.0288</v>
      </c>
      <c r="AG14" s="207"/>
      <c r="AH14" s="211">
        <v>1323.9</v>
      </c>
      <c r="AI14" s="206">
        <v>0.2587</v>
      </c>
    </row>
    <row r="15" ht="15.75" customHeight="1">
      <c r="A15" s="198"/>
      <c r="B15" s="199">
        <v>45606.0</v>
      </c>
      <c r="C15" s="200">
        <v>23532.7</v>
      </c>
      <c r="D15" s="201">
        <f t="shared" si="1"/>
        <v>-0.0254884422</v>
      </c>
      <c r="E15" s="81"/>
      <c r="F15" s="200">
        <v>1559.0</v>
      </c>
      <c r="G15" s="201">
        <f t="shared" si="2"/>
        <v>-0.07974735848</v>
      </c>
      <c r="T15" s="217" t="s">
        <v>274</v>
      </c>
      <c r="U15" s="218">
        <f>SLOPE(Z5:Z212,D4:D211)</f>
        <v>0.7795323503</v>
      </c>
      <c r="Y15" s="205">
        <v>365.45</v>
      </c>
      <c r="Z15" s="206">
        <v>-0.0189</v>
      </c>
      <c r="AA15" s="207"/>
      <c r="AB15" s="208">
        <v>336.95</v>
      </c>
      <c r="AC15" s="209">
        <v>0.0796</v>
      </c>
      <c r="AD15" s="207"/>
      <c r="AE15" s="210">
        <v>79.16</v>
      </c>
      <c r="AF15" s="206">
        <v>0.01</v>
      </c>
      <c r="AG15" s="207"/>
      <c r="AH15" s="211">
        <v>1051.8</v>
      </c>
      <c r="AI15" s="206">
        <v>-0.2942</v>
      </c>
    </row>
    <row r="16" ht="15.75" customHeight="1">
      <c r="A16" s="198"/>
      <c r="B16" s="199">
        <v>45599.0</v>
      </c>
      <c r="C16" s="200">
        <v>24148.2</v>
      </c>
      <c r="D16" s="201">
        <f t="shared" si="1"/>
        <v>-0.006424775812</v>
      </c>
      <c r="E16" s="81"/>
      <c r="F16" s="200">
        <v>1694.1</v>
      </c>
      <c r="G16" s="201">
        <f t="shared" si="2"/>
        <v>-0.07195486045</v>
      </c>
      <c r="I16" s="219" t="s">
        <v>275</v>
      </c>
      <c r="J16" s="220">
        <f>SLOPE(G4:G211,D4:D211)</f>
        <v>0.9889342579</v>
      </c>
      <c r="K16" s="221"/>
      <c r="T16" s="222" t="s">
        <v>276</v>
      </c>
      <c r="U16" s="223">
        <f>SLOPE(AC5:AC212,D4:D211)</f>
        <v>0.4920100236</v>
      </c>
      <c r="Y16" s="205">
        <v>372.5</v>
      </c>
      <c r="Z16" s="206">
        <v>-0.0632</v>
      </c>
      <c r="AA16" s="207"/>
      <c r="AB16" s="208">
        <v>312.1</v>
      </c>
      <c r="AC16" s="209">
        <v>-0.0131</v>
      </c>
      <c r="AD16" s="207"/>
      <c r="AE16" s="210">
        <v>78.38</v>
      </c>
      <c r="AF16" s="206">
        <v>-0.0482</v>
      </c>
      <c r="AG16" s="207"/>
      <c r="AH16" s="211">
        <v>1490.3</v>
      </c>
      <c r="AI16" s="206">
        <v>-0.0677</v>
      </c>
    </row>
    <row r="17" ht="15.75" customHeight="1">
      <c r="A17" s="198"/>
      <c r="B17" s="199">
        <v>45592.0</v>
      </c>
      <c r="C17" s="200">
        <v>24304.35</v>
      </c>
      <c r="D17" s="201">
        <f t="shared" si="1"/>
        <v>0.00510942566</v>
      </c>
      <c r="E17" s="81"/>
      <c r="F17" s="200">
        <v>1825.45</v>
      </c>
      <c r="G17" s="201">
        <f t="shared" si="2"/>
        <v>-0.05112277784</v>
      </c>
      <c r="I17" s="224" t="s">
        <v>277</v>
      </c>
      <c r="J17" s="225">
        <f t="array" ref="J17">_xlfn.COVARIANCE.S(D4:D211,G4:G211/_xlfn.VAR.S(D4:D211))</f>
        <v>0.9889342579</v>
      </c>
      <c r="K17" s="226"/>
      <c r="T17" s="222" t="s">
        <v>278</v>
      </c>
      <c r="U17" s="223">
        <f>SLOPE(AF5:AF212,D4:D211)</f>
        <v>0.8294962579</v>
      </c>
      <c r="Y17" s="205">
        <v>397.65</v>
      </c>
      <c r="Z17" s="206">
        <v>-0.0333</v>
      </c>
      <c r="AA17" s="207"/>
      <c r="AB17" s="208">
        <v>316.25</v>
      </c>
      <c r="AC17" s="209">
        <v>-0.018</v>
      </c>
      <c r="AD17" s="207"/>
      <c r="AE17" s="210">
        <v>82.35</v>
      </c>
      <c r="AF17" s="206">
        <v>-0.0212</v>
      </c>
      <c r="AG17" s="207"/>
      <c r="AH17" s="211">
        <v>1598.55</v>
      </c>
      <c r="AI17" s="206">
        <v>-0.0209</v>
      </c>
    </row>
    <row r="18" ht="15.75" customHeight="1">
      <c r="A18" s="198"/>
      <c r="B18" s="199">
        <v>45585.0</v>
      </c>
      <c r="C18" s="200">
        <v>24180.8</v>
      </c>
      <c r="D18" s="201">
        <f t="shared" si="1"/>
        <v>-0.02708814056</v>
      </c>
      <c r="E18" s="81"/>
      <c r="F18" s="200">
        <v>1923.8</v>
      </c>
      <c r="G18" s="201">
        <f t="shared" si="2"/>
        <v>-0.02525777113</v>
      </c>
      <c r="I18" s="227" t="s">
        <v>279</v>
      </c>
      <c r="J18" s="228">
        <f>J41</f>
        <v>0.98885811</v>
      </c>
      <c r="K18" s="226"/>
      <c r="T18" s="229" t="s">
        <v>280</v>
      </c>
      <c r="U18" s="230">
        <f>SLOPE(AI5:AI212,D4:D211)</f>
        <v>1.065561573</v>
      </c>
      <c r="Y18" s="205">
        <v>411.35</v>
      </c>
      <c r="Z18" s="206">
        <v>0.0312</v>
      </c>
      <c r="AA18" s="207"/>
      <c r="AB18" s="208">
        <v>322.05</v>
      </c>
      <c r="AC18" s="209">
        <v>0.0198</v>
      </c>
      <c r="AD18" s="207"/>
      <c r="AE18" s="210">
        <v>84.13</v>
      </c>
      <c r="AF18" s="206">
        <v>0.0717</v>
      </c>
      <c r="AG18" s="207"/>
      <c r="AH18" s="211">
        <v>1632.65</v>
      </c>
      <c r="AI18" s="206">
        <v>-0.0069</v>
      </c>
    </row>
    <row r="19" ht="15.75" customHeight="1">
      <c r="A19" s="198"/>
      <c r="B19" s="199">
        <v>45578.0</v>
      </c>
      <c r="C19" s="200">
        <v>24854.05</v>
      </c>
      <c r="D19" s="201">
        <f t="shared" si="1"/>
        <v>-0.004414312467</v>
      </c>
      <c r="E19" s="81"/>
      <c r="F19" s="200">
        <v>1973.65</v>
      </c>
      <c r="G19" s="201">
        <f t="shared" si="2"/>
        <v>0.04625212044</v>
      </c>
      <c r="Y19" s="205">
        <v>398.9</v>
      </c>
      <c r="Z19" s="206">
        <v>-0.0613</v>
      </c>
      <c r="AA19" s="207"/>
      <c r="AB19" s="208">
        <v>315.8</v>
      </c>
      <c r="AC19" s="209">
        <v>-0.0489</v>
      </c>
      <c r="AD19" s="207"/>
      <c r="AE19" s="210">
        <v>78.5</v>
      </c>
      <c r="AF19" s="206">
        <v>-0.0669</v>
      </c>
      <c r="AG19" s="207"/>
      <c r="AH19" s="211">
        <v>1644.0</v>
      </c>
      <c r="AI19" s="206">
        <v>-0.053</v>
      </c>
    </row>
    <row r="20" ht="15.75" customHeight="1">
      <c r="A20" s="198"/>
      <c r="B20" s="199">
        <v>45571.0</v>
      </c>
      <c r="C20" s="200">
        <v>24964.25</v>
      </c>
      <c r="D20" s="201">
        <f t="shared" si="1"/>
        <v>-0.00201282451</v>
      </c>
      <c r="E20" s="81"/>
      <c r="F20" s="200">
        <v>1886.4</v>
      </c>
      <c r="G20" s="201">
        <f t="shared" si="2"/>
        <v>-0.002274289946</v>
      </c>
      <c r="Y20" s="205">
        <v>424.95</v>
      </c>
      <c r="Z20" s="206">
        <v>0.0058</v>
      </c>
      <c r="AA20" s="207"/>
      <c r="AB20" s="208">
        <v>332.05</v>
      </c>
      <c r="AC20" s="209">
        <v>0.0061</v>
      </c>
      <c r="AD20" s="207"/>
      <c r="AE20" s="210">
        <v>84.13</v>
      </c>
      <c r="AF20" s="206">
        <v>-0.0747</v>
      </c>
      <c r="AG20" s="207"/>
      <c r="AH20" s="211">
        <v>1736.05</v>
      </c>
      <c r="AI20" s="206">
        <v>-0.0313</v>
      </c>
    </row>
    <row r="21" ht="15.75" customHeight="1">
      <c r="A21" s="198"/>
      <c r="B21" s="199">
        <v>45564.0</v>
      </c>
      <c r="C21" s="200">
        <v>25014.6</v>
      </c>
      <c r="D21" s="201">
        <f t="shared" si="1"/>
        <v>-0.04447657374</v>
      </c>
      <c r="E21" s="81"/>
      <c r="F21" s="200">
        <v>1890.7</v>
      </c>
      <c r="G21" s="201">
        <f t="shared" si="2"/>
        <v>-0.00896320369</v>
      </c>
      <c r="Y21" s="205">
        <v>422.5</v>
      </c>
      <c r="Z21" s="206">
        <v>-0.0185</v>
      </c>
      <c r="AA21" s="207"/>
      <c r="AB21" s="208">
        <v>330.05</v>
      </c>
      <c r="AC21" s="209">
        <v>-0.026</v>
      </c>
      <c r="AD21" s="207"/>
      <c r="AE21" s="210">
        <v>90.92</v>
      </c>
      <c r="AF21" s="206">
        <v>-0.0241</v>
      </c>
      <c r="AG21" s="207"/>
      <c r="AH21" s="211">
        <v>1792.2</v>
      </c>
      <c r="AI21" s="206">
        <v>-0.005</v>
      </c>
    </row>
    <row r="22" ht="15.75" customHeight="1">
      <c r="A22" s="198"/>
      <c r="B22" s="199">
        <v>45557.0</v>
      </c>
      <c r="C22" s="200">
        <v>26178.95</v>
      </c>
      <c r="D22" s="201">
        <f t="shared" si="1"/>
        <v>0.01504403676</v>
      </c>
      <c r="E22" s="81"/>
      <c r="F22" s="200">
        <v>1907.8</v>
      </c>
      <c r="G22" s="201">
        <f t="shared" si="2"/>
        <v>0.003023054073</v>
      </c>
      <c r="Y22" s="205">
        <v>430.45</v>
      </c>
      <c r="Z22" s="206">
        <v>-0.0148</v>
      </c>
      <c r="AA22" s="207"/>
      <c r="AB22" s="208">
        <v>338.85</v>
      </c>
      <c r="AC22" s="209">
        <v>-0.0435</v>
      </c>
      <c r="AD22" s="207"/>
      <c r="AE22" s="210">
        <v>93.17</v>
      </c>
      <c r="AF22" s="206">
        <v>-0.0228</v>
      </c>
      <c r="AG22" s="207"/>
      <c r="AH22" s="211">
        <v>1801.2</v>
      </c>
      <c r="AI22" s="206">
        <v>-0.0912</v>
      </c>
    </row>
    <row r="23" ht="15.75" customHeight="1">
      <c r="A23" s="198"/>
      <c r="B23" s="199">
        <v>45550.0</v>
      </c>
      <c r="C23" s="200">
        <v>25790.95</v>
      </c>
      <c r="D23" s="201">
        <f t="shared" si="1"/>
        <v>0.01713367381</v>
      </c>
      <c r="E23" s="81"/>
      <c r="F23" s="200">
        <v>1902.05</v>
      </c>
      <c r="G23" s="201">
        <f t="shared" si="2"/>
        <v>0.0788712422</v>
      </c>
      <c r="Y23" s="205">
        <v>436.9</v>
      </c>
      <c r="Z23" s="206">
        <v>0.0305</v>
      </c>
      <c r="AA23" s="207"/>
      <c r="AB23" s="208">
        <v>354.25</v>
      </c>
      <c r="AC23" s="209">
        <v>0.0393</v>
      </c>
      <c r="AD23" s="207"/>
      <c r="AE23" s="210">
        <v>95.34</v>
      </c>
      <c r="AF23" s="206">
        <v>0.0073</v>
      </c>
      <c r="AG23" s="207"/>
      <c r="AH23" s="211">
        <v>1981.85</v>
      </c>
      <c r="AI23" s="206">
        <v>-0.011</v>
      </c>
    </row>
    <row r="24" ht="15.75" customHeight="1">
      <c r="A24" s="198"/>
      <c r="B24" s="199">
        <v>45543.0</v>
      </c>
      <c r="C24" s="200">
        <v>25356.5</v>
      </c>
      <c r="D24" s="201">
        <f t="shared" si="1"/>
        <v>0.02029401883</v>
      </c>
      <c r="E24" s="81"/>
      <c r="F24" s="200">
        <v>1763.0</v>
      </c>
      <c r="G24" s="201">
        <f t="shared" si="2"/>
        <v>0.04021004809</v>
      </c>
      <c r="I24" s="231" t="s">
        <v>281</v>
      </c>
      <c r="K24" s="232"/>
      <c r="L24" s="232"/>
      <c r="M24" s="232"/>
      <c r="N24" s="232"/>
      <c r="O24" s="232"/>
      <c r="P24" s="232"/>
      <c r="Q24" s="232"/>
      <c r="Y24" s="205">
        <v>423.95</v>
      </c>
      <c r="Z24" s="206">
        <v>0.0562</v>
      </c>
      <c r="AA24" s="207"/>
      <c r="AB24" s="208">
        <v>340.85</v>
      </c>
      <c r="AC24" s="209">
        <v>0.0107</v>
      </c>
      <c r="AD24" s="207"/>
      <c r="AE24" s="210">
        <v>94.65</v>
      </c>
      <c r="AF24" s="206">
        <v>0.0039</v>
      </c>
      <c r="AG24" s="207"/>
      <c r="AH24" s="211">
        <v>2003.95</v>
      </c>
      <c r="AI24" s="206">
        <v>0.1207</v>
      </c>
    </row>
    <row r="25" ht="15.75" customHeight="1">
      <c r="A25" s="198"/>
      <c r="B25" s="199">
        <v>45536.0</v>
      </c>
      <c r="C25" s="200">
        <v>24852.15</v>
      </c>
      <c r="D25" s="201">
        <f t="shared" si="1"/>
        <v>-0.01520651136</v>
      </c>
      <c r="E25" s="81"/>
      <c r="F25" s="200">
        <v>1694.85</v>
      </c>
      <c r="G25" s="201">
        <f t="shared" si="2"/>
        <v>-0.0279036421</v>
      </c>
      <c r="I25" s="232"/>
      <c r="J25" s="232"/>
      <c r="K25" s="232"/>
      <c r="L25" s="232"/>
      <c r="M25" s="232"/>
      <c r="N25" s="232"/>
      <c r="O25" s="232"/>
      <c r="P25" s="232"/>
      <c r="Q25" s="232"/>
      <c r="Y25" s="205">
        <v>401.4</v>
      </c>
      <c r="Z25" s="206">
        <v>0.0167</v>
      </c>
      <c r="AA25" s="207"/>
      <c r="AB25" s="208">
        <v>337.25</v>
      </c>
      <c r="AC25" s="209">
        <v>0.0226</v>
      </c>
      <c r="AD25" s="207"/>
      <c r="AE25" s="210">
        <v>94.28</v>
      </c>
      <c r="AF25" s="206">
        <v>-0.0188</v>
      </c>
      <c r="AG25" s="207"/>
      <c r="AH25" s="211">
        <v>1788.2</v>
      </c>
      <c r="AI25" s="206">
        <v>-0.0403</v>
      </c>
    </row>
    <row r="26" ht="15.75" customHeight="1">
      <c r="A26" s="198"/>
      <c r="B26" s="199">
        <v>45529.0</v>
      </c>
      <c r="C26" s="200">
        <v>25235.9</v>
      </c>
      <c r="D26" s="201">
        <f t="shared" si="1"/>
        <v>0.01662762381</v>
      </c>
      <c r="E26" s="81"/>
      <c r="F26" s="200">
        <v>1743.5</v>
      </c>
      <c r="G26" s="201">
        <f t="shared" si="2"/>
        <v>0.04276315789</v>
      </c>
      <c r="I26" s="233" t="s">
        <v>282</v>
      </c>
      <c r="J26" s="2"/>
      <c r="K26" s="232"/>
      <c r="L26" s="232"/>
      <c r="M26" s="232"/>
      <c r="N26" s="232"/>
      <c r="O26" s="232"/>
      <c r="P26" s="232"/>
      <c r="Q26" s="232"/>
      <c r="Y26" s="205">
        <v>394.8</v>
      </c>
      <c r="Z26" s="206">
        <v>-0.0514</v>
      </c>
      <c r="AA26" s="207"/>
      <c r="AB26" s="208">
        <v>329.8</v>
      </c>
      <c r="AC26" s="209">
        <v>-0.0225</v>
      </c>
      <c r="AD26" s="207"/>
      <c r="AE26" s="210">
        <v>96.09</v>
      </c>
      <c r="AF26" s="206">
        <v>-3.0E-4</v>
      </c>
      <c r="AG26" s="207"/>
      <c r="AH26" s="211">
        <v>1863.3</v>
      </c>
      <c r="AI26" s="206">
        <v>0.0137</v>
      </c>
    </row>
    <row r="27" ht="15.75" customHeight="1">
      <c r="A27" s="198"/>
      <c r="B27" s="199">
        <v>45522.0</v>
      </c>
      <c r="C27" s="200">
        <v>24823.15</v>
      </c>
      <c r="D27" s="201">
        <f t="shared" si="1"/>
        <v>0.01149090405</v>
      </c>
      <c r="E27" s="81"/>
      <c r="F27" s="200">
        <v>1672.0</v>
      </c>
      <c r="G27" s="201">
        <f t="shared" si="2"/>
        <v>-0.009537349683</v>
      </c>
      <c r="I27" s="234" t="s">
        <v>283</v>
      </c>
      <c r="J27" s="235">
        <v>0.36421924</v>
      </c>
      <c r="K27" s="232"/>
      <c r="L27" s="232"/>
      <c r="M27" s="232"/>
      <c r="N27" s="232"/>
      <c r="O27" s="232"/>
      <c r="P27" s="232"/>
      <c r="Q27" s="232"/>
      <c r="Y27" s="205">
        <v>416.2</v>
      </c>
      <c r="Z27" s="206">
        <v>0.0355</v>
      </c>
      <c r="AA27" s="207"/>
      <c r="AB27" s="208">
        <v>337.4</v>
      </c>
      <c r="AC27" s="209">
        <v>0.0034</v>
      </c>
      <c r="AD27" s="207"/>
      <c r="AE27" s="210">
        <v>96.12</v>
      </c>
      <c r="AF27" s="206">
        <v>-0.01</v>
      </c>
      <c r="AG27" s="207"/>
      <c r="AH27" s="211">
        <v>1838.15</v>
      </c>
      <c r="AI27" s="206">
        <v>-0.033</v>
      </c>
    </row>
    <row r="28" ht="15.75" customHeight="1">
      <c r="A28" s="198"/>
      <c r="B28" s="199">
        <v>45515.0</v>
      </c>
      <c r="C28" s="200">
        <v>24541.15</v>
      </c>
      <c r="D28" s="201">
        <f t="shared" si="1"/>
        <v>0.00712629527</v>
      </c>
      <c r="E28" s="81"/>
      <c r="F28" s="200">
        <v>1688.1</v>
      </c>
      <c r="G28" s="201">
        <f t="shared" si="2"/>
        <v>-0.05771699693</v>
      </c>
      <c r="I28" s="236" t="s">
        <v>284</v>
      </c>
      <c r="J28" s="237">
        <v>0.13265565</v>
      </c>
      <c r="K28" s="232"/>
      <c r="L28" s="232"/>
      <c r="M28" s="232"/>
      <c r="N28" s="232"/>
      <c r="O28" s="232"/>
      <c r="P28" s="232"/>
      <c r="Q28" s="232"/>
      <c r="Y28" s="205">
        <v>401.95</v>
      </c>
      <c r="Z28" s="206">
        <v>0.0098</v>
      </c>
      <c r="AA28" s="207"/>
      <c r="AB28" s="208">
        <v>336.25</v>
      </c>
      <c r="AC28" s="209">
        <v>-0.0069</v>
      </c>
      <c r="AD28" s="207"/>
      <c r="AE28" s="210">
        <v>97.09</v>
      </c>
      <c r="AF28" s="206">
        <v>0.0314</v>
      </c>
      <c r="AG28" s="207"/>
      <c r="AH28" s="211">
        <v>1900.9</v>
      </c>
      <c r="AI28" s="206">
        <v>0.0382</v>
      </c>
    </row>
    <row r="29" ht="15.75" customHeight="1">
      <c r="A29" s="198"/>
      <c r="B29" s="199">
        <v>45508.0</v>
      </c>
      <c r="C29" s="200">
        <v>24367.5</v>
      </c>
      <c r="D29" s="201">
        <f t="shared" si="1"/>
        <v>-0.01416798489</v>
      </c>
      <c r="E29" s="81"/>
      <c r="F29" s="200">
        <v>1791.5</v>
      </c>
      <c r="G29" s="201">
        <f t="shared" si="2"/>
        <v>-0.03232776082</v>
      </c>
      <c r="I29" s="234" t="s">
        <v>285</v>
      </c>
      <c r="J29" s="235">
        <v>0.12844524</v>
      </c>
      <c r="K29" s="232"/>
      <c r="L29" s="232"/>
      <c r="M29" s="232"/>
      <c r="N29" s="232"/>
      <c r="O29" s="232"/>
      <c r="P29" s="232"/>
      <c r="Q29" s="232"/>
      <c r="Y29" s="205">
        <v>398.05</v>
      </c>
      <c r="Z29" s="206">
        <v>-0.0307</v>
      </c>
      <c r="AA29" s="207"/>
      <c r="AB29" s="208">
        <v>338.6</v>
      </c>
      <c r="AC29" s="209">
        <v>-0.0214</v>
      </c>
      <c r="AD29" s="207"/>
      <c r="AE29" s="210">
        <v>94.13</v>
      </c>
      <c r="AF29" s="206">
        <v>-0.0372</v>
      </c>
      <c r="AG29" s="207"/>
      <c r="AH29" s="211">
        <v>1831.0</v>
      </c>
      <c r="AI29" s="206">
        <v>0.0282</v>
      </c>
    </row>
    <row r="30" ht="15.75" customHeight="1">
      <c r="A30" s="198"/>
      <c r="B30" s="199">
        <v>45501.0</v>
      </c>
      <c r="C30" s="200">
        <v>24717.7</v>
      </c>
      <c r="D30" s="201">
        <f t="shared" si="1"/>
        <v>-0.004717161569</v>
      </c>
      <c r="E30" s="81"/>
      <c r="F30" s="200">
        <v>1851.35</v>
      </c>
      <c r="G30" s="201">
        <f t="shared" si="2"/>
        <v>0.1891640171</v>
      </c>
      <c r="I30" s="234" t="s">
        <v>286</v>
      </c>
      <c r="J30" s="235">
        <v>0.04601342</v>
      </c>
      <c r="K30" s="232"/>
      <c r="L30" s="232"/>
      <c r="M30" s="232"/>
      <c r="N30" s="232"/>
      <c r="O30" s="232"/>
      <c r="P30" s="232"/>
      <c r="Q30" s="232"/>
      <c r="Y30" s="205">
        <v>410.65</v>
      </c>
      <c r="Z30" s="206">
        <v>-0.0216</v>
      </c>
      <c r="AA30" s="207"/>
      <c r="AB30" s="208">
        <v>346.0</v>
      </c>
      <c r="AC30" s="209">
        <v>-0.0342</v>
      </c>
      <c r="AD30" s="207"/>
      <c r="AE30" s="210">
        <v>97.77</v>
      </c>
      <c r="AF30" s="206">
        <v>-0.0536</v>
      </c>
      <c r="AG30" s="207"/>
      <c r="AH30" s="211">
        <v>1780.85</v>
      </c>
      <c r="AI30" s="206">
        <v>-0.0534</v>
      </c>
    </row>
    <row r="31" ht="15.75" customHeight="1">
      <c r="A31" s="198"/>
      <c r="B31" s="199">
        <v>45494.0</v>
      </c>
      <c r="C31" s="200">
        <v>24834.85</v>
      </c>
      <c r="D31" s="201">
        <f t="shared" si="1"/>
        <v>0.01239049525</v>
      </c>
      <c r="E31" s="81"/>
      <c r="F31" s="200">
        <v>1556.85</v>
      </c>
      <c r="G31" s="201">
        <f t="shared" si="2"/>
        <v>0.0198820832</v>
      </c>
      <c r="I31" s="238" t="s">
        <v>287</v>
      </c>
      <c r="J31" s="239">
        <v>208.0</v>
      </c>
      <c r="K31" s="232"/>
      <c r="L31" s="232"/>
      <c r="M31" s="232"/>
      <c r="N31" s="232"/>
      <c r="O31" s="232"/>
      <c r="P31" s="232"/>
      <c r="Q31" s="232"/>
      <c r="Y31" s="205">
        <v>419.7</v>
      </c>
      <c r="Z31" s="206">
        <v>0.059</v>
      </c>
      <c r="AA31" s="207"/>
      <c r="AB31" s="208">
        <v>358.25</v>
      </c>
      <c r="AC31" s="209">
        <v>0.0408</v>
      </c>
      <c r="AD31" s="207"/>
      <c r="AE31" s="210">
        <v>103.31</v>
      </c>
      <c r="AF31" s="206">
        <v>-0.0125</v>
      </c>
      <c r="AG31" s="207"/>
      <c r="AH31" s="211">
        <v>1881.4</v>
      </c>
      <c r="AI31" s="206">
        <v>0.0431</v>
      </c>
    </row>
    <row r="32" ht="15.75" customHeight="1">
      <c r="A32" s="198"/>
      <c r="B32" s="199">
        <v>45487.0</v>
      </c>
      <c r="C32" s="200">
        <v>24530.9</v>
      </c>
      <c r="D32" s="201">
        <f t="shared" si="1"/>
        <v>0.001173366419</v>
      </c>
      <c r="E32" s="81"/>
      <c r="F32" s="200">
        <v>1526.5</v>
      </c>
      <c r="G32" s="201">
        <f t="shared" si="2"/>
        <v>0.01089367902</v>
      </c>
      <c r="I32" s="232"/>
      <c r="J32" s="232"/>
      <c r="K32" s="232"/>
      <c r="L32" s="232"/>
      <c r="M32" s="232"/>
      <c r="N32" s="232"/>
      <c r="O32" s="232"/>
      <c r="P32" s="232"/>
      <c r="Q32" s="232"/>
      <c r="Y32" s="205">
        <v>396.3</v>
      </c>
      <c r="Z32" s="206">
        <v>0.0868</v>
      </c>
      <c r="AA32" s="207"/>
      <c r="AB32" s="208">
        <v>344.2</v>
      </c>
      <c r="AC32" s="209">
        <v>0.0361</v>
      </c>
      <c r="AD32" s="207"/>
      <c r="AE32" s="210">
        <v>104.62</v>
      </c>
      <c r="AF32" s="206">
        <v>-0.0155</v>
      </c>
      <c r="AG32" s="207"/>
      <c r="AH32" s="211">
        <v>1803.7</v>
      </c>
      <c r="AI32" s="206">
        <v>0.0467</v>
      </c>
    </row>
    <row r="33" ht="15.75" customHeight="1">
      <c r="A33" s="198"/>
      <c r="B33" s="199">
        <v>45480.0</v>
      </c>
      <c r="C33" s="200">
        <v>24502.15</v>
      </c>
      <c r="D33" s="201">
        <f t="shared" si="1"/>
        <v>0.007330254051</v>
      </c>
      <c r="E33" s="81"/>
      <c r="F33" s="200">
        <v>1510.05</v>
      </c>
      <c r="G33" s="201">
        <f t="shared" si="2"/>
        <v>0.0003643590593</v>
      </c>
      <c r="I33" s="234" t="s">
        <v>288</v>
      </c>
      <c r="J33" s="232"/>
      <c r="K33" s="232"/>
      <c r="L33" s="232"/>
      <c r="M33" s="232"/>
      <c r="N33" s="232"/>
      <c r="O33" s="232"/>
      <c r="P33" s="232"/>
      <c r="Q33" s="232"/>
      <c r="Y33" s="205">
        <v>364.65</v>
      </c>
      <c r="Z33" s="206">
        <v>-0.0331</v>
      </c>
      <c r="AA33" s="207"/>
      <c r="AB33" s="208">
        <v>332.2</v>
      </c>
      <c r="AC33" s="209">
        <v>-0.0318</v>
      </c>
      <c r="AD33" s="207"/>
      <c r="AE33" s="210">
        <v>106.27</v>
      </c>
      <c r="AF33" s="206">
        <v>-0.0597</v>
      </c>
      <c r="AG33" s="207"/>
      <c r="AH33" s="211">
        <v>1723.3</v>
      </c>
      <c r="AI33" s="206">
        <v>-0.0069</v>
      </c>
    </row>
    <row r="34" ht="15.75" customHeight="1">
      <c r="A34" s="198"/>
      <c r="B34" s="199">
        <v>45473.0</v>
      </c>
      <c r="C34" s="200">
        <v>24323.85</v>
      </c>
      <c r="D34" s="201">
        <f t="shared" si="1"/>
        <v>0.01304632121</v>
      </c>
      <c r="E34" s="81"/>
      <c r="F34" s="200">
        <v>1509.5</v>
      </c>
      <c r="G34" s="201">
        <f t="shared" si="2"/>
        <v>0.007407901762</v>
      </c>
      <c r="I34" s="240"/>
      <c r="J34" s="233" t="s">
        <v>289</v>
      </c>
      <c r="K34" s="233" t="s">
        <v>290</v>
      </c>
      <c r="L34" s="233" t="s">
        <v>291</v>
      </c>
      <c r="M34" s="233" t="s">
        <v>292</v>
      </c>
      <c r="N34" s="233" t="s">
        <v>293</v>
      </c>
      <c r="O34" s="232"/>
      <c r="P34" s="232"/>
      <c r="Q34" s="232"/>
      <c r="Y34" s="205">
        <v>377.15</v>
      </c>
      <c r="Z34" s="206">
        <v>-0.007</v>
      </c>
      <c r="AA34" s="207"/>
      <c r="AB34" s="208">
        <v>343.1</v>
      </c>
      <c r="AC34" s="209">
        <v>0.0109</v>
      </c>
      <c r="AD34" s="207"/>
      <c r="AE34" s="210">
        <v>113.02</v>
      </c>
      <c r="AF34" s="206">
        <v>0.0886</v>
      </c>
      <c r="AG34" s="207"/>
      <c r="AH34" s="211">
        <v>1735.25</v>
      </c>
      <c r="AI34" s="206">
        <v>-0.0109</v>
      </c>
    </row>
    <row r="35" ht="15.75" customHeight="1">
      <c r="A35" s="198"/>
      <c r="B35" s="199">
        <v>45466.0</v>
      </c>
      <c r="C35" s="200">
        <v>24010.6</v>
      </c>
      <c r="D35" s="201">
        <f t="shared" si="1"/>
        <v>0.02167983626</v>
      </c>
      <c r="E35" s="81"/>
      <c r="F35" s="200">
        <v>1498.4</v>
      </c>
      <c r="G35" s="201">
        <f t="shared" si="2"/>
        <v>-0.003358941102</v>
      </c>
      <c r="I35" s="234" t="s">
        <v>294</v>
      </c>
      <c r="J35" s="235">
        <v>1.0</v>
      </c>
      <c r="K35" s="235">
        <v>0.06670686</v>
      </c>
      <c r="L35" s="235">
        <v>0.06670686</v>
      </c>
      <c r="M35" s="235">
        <v>31.5065917</v>
      </c>
      <c r="N35" s="241">
        <v>6.3697E-8</v>
      </c>
      <c r="O35" s="232"/>
      <c r="P35" s="232"/>
      <c r="Q35" s="232"/>
      <c r="Y35" s="205">
        <v>379.8</v>
      </c>
      <c r="Z35" s="206">
        <v>0.0038</v>
      </c>
      <c r="AA35" s="207"/>
      <c r="AB35" s="208">
        <v>339.4</v>
      </c>
      <c r="AC35" s="209">
        <v>0.0255</v>
      </c>
      <c r="AD35" s="207"/>
      <c r="AE35" s="210">
        <v>103.82</v>
      </c>
      <c r="AF35" s="206">
        <v>0.031</v>
      </c>
      <c r="AG35" s="207"/>
      <c r="AH35" s="211">
        <v>1754.3</v>
      </c>
      <c r="AI35" s="206">
        <v>-0.0193</v>
      </c>
    </row>
    <row r="36" ht="15.75" customHeight="1">
      <c r="A36" s="198"/>
      <c r="B36" s="199">
        <v>45459.0</v>
      </c>
      <c r="C36" s="200">
        <v>23501.1</v>
      </c>
      <c r="D36" s="201">
        <f t="shared" si="1"/>
        <v>0.001512852857</v>
      </c>
      <c r="E36" s="81"/>
      <c r="F36" s="200">
        <v>1503.45</v>
      </c>
      <c r="G36" s="201">
        <f t="shared" si="2"/>
        <v>-0.05981489588</v>
      </c>
      <c r="I36" s="234" t="s">
        <v>295</v>
      </c>
      <c r="J36" s="235">
        <v>206.0</v>
      </c>
      <c r="K36" s="235">
        <v>0.43615043</v>
      </c>
      <c r="L36" s="235">
        <v>0.00211724</v>
      </c>
      <c r="M36" s="242"/>
      <c r="N36" s="242"/>
      <c r="O36" s="232"/>
      <c r="P36" s="232"/>
      <c r="Q36" s="232"/>
      <c r="Y36" s="205">
        <v>378.35</v>
      </c>
      <c r="Z36" s="206">
        <v>0.0516</v>
      </c>
      <c r="AA36" s="207"/>
      <c r="AB36" s="208">
        <v>330.95</v>
      </c>
      <c r="AC36" s="209">
        <v>0.0153</v>
      </c>
      <c r="AD36" s="207"/>
      <c r="AE36" s="210">
        <v>100.7</v>
      </c>
      <c r="AF36" s="206">
        <v>-6.0E-4</v>
      </c>
      <c r="AG36" s="207"/>
      <c r="AH36" s="211">
        <v>1788.8</v>
      </c>
      <c r="AI36" s="206">
        <v>0.0047</v>
      </c>
    </row>
    <row r="37" ht="15.75" customHeight="1">
      <c r="A37" s="198"/>
      <c r="B37" s="199">
        <v>45452.0</v>
      </c>
      <c r="C37" s="200">
        <v>23465.6</v>
      </c>
      <c r="D37" s="201">
        <f t="shared" si="1"/>
        <v>0.007533227566</v>
      </c>
      <c r="E37" s="81"/>
      <c r="F37" s="200">
        <v>1599.1</v>
      </c>
      <c r="G37" s="201">
        <f t="shared" si="2"/>
        <v>0.06748998665</v>
      </c>
      <c r="I37" s="238" t="s">
        <v>296</v>
      </c>
      <c r="J37" s="239">
        <v>207.0</v>
      </c>
      <c r="K37" s="239">
        <v>0.50285729</v>
      </c>
      <c r="L37" s="243"/>
      <c r="M37" s="243"/>
      <c r="N37" s="243"/>
      <c r="O37" s="232"/>
      <c r="P37" s="232"/>
      <c r="Q37" s="232"/>
      <c r="Y37" s="205">
        <v>359.8</v>
      </c>
      <c r="Z37" s="206">
        <v>-0.0235</v>
      </c>
      <c r="AA37" s="207"/>
      <c r="AB37" s="208">
        <v>325.95</v>
      </c>
      <c r="AC37" s="209">
        <v>0.0138</v>
      </c>
      <c r="AD37" s="207"/>
      <c r="AE37" s="210">
        <v>100.76</v>
      </c>
      <c r="AF37" s="206">
        <v>-0.0178</v>
      </c>
      <c r="AG37" s="207"/>
      <c r="AH37" s="211">
        <v>1780.45</v>
      </c>
      <c r="AI37" s="206">
        <v>-0.0143</v>
      </c>
    </row>
    <row r="38" ht="15.75" customHeight="1">
      <c r="A38" s="198"/>
      <c r="B38" s="199">
        <v>45445.0</v>
      </c>
      <c r="C38" s="200">
        <v>23290.15</v>
      </c>
      <c r="D38" s="201">
        <f t="shared" si="1"/>
        <v>0.03370734154</v>
      </c>
      <c r="E38" s="81"/>
      <c r="F38" s="200">
        <v>1498.0</v>
      </c>
      <c r="G38" s="201">
        <f t="shared" si="2"/>
        <v>-0.002530296977</v>
      </c>
      <c r="I38" s="232"/>
      <c r="J38" s="232"/>
      <c r="K38" s="232"/>
      <c r="L38" s="232"/>
      <c r="M38" s="232"/>
      <c r="N38" s="232"/>
      <c r="O38" s="232"/>
      <c r="P38" s="232"/>
      <c r="Q38" s="232"/>
      <c r="Y38" s="205">
        <v>368.45</v>
      </c>
      <c r="Z38" s="206">
        <v>0.0218</v>
      </c>
      <c r="AA38" s="207"/>
      <c r="AB38" s="208">
        <v>321.5</v>
      </c>
      <c r="AC38" s="209">
        <v>0.0393</v>
      </c>
      <c r="AD38" s="207"/>
      <c r="AE38" s="210">
        <v>102.59</v>
      </c>
      <c r="AF38" s="206">
        <v>-0.0059</v>
      </c>
      <c r="AG38" s="207"/>
      <c r="AH38" s="211">
        <v>1806.3</v>
      </c>
      <c r="AI38" s="206">
        <v>-0.0311</v>
      </c>
    </row>
    <row r="39" ht="15.75" customHeight="1">
      <c r="A39" s="198"/>
      <c r="B39" s="199">
        <v>45438.0</v>
      </c>
      <c r="C39" s="200">
        <v>22530.7</v>
      </c>
      <c r="D39" s="201">
        <f t="shared" si="1"/>
        <v>-0.01857377456</v>
      </c>
      <c r="E39" s="81"/>
      <c r="F39" s="200">
        <v>1501.8</v>
      </c>
      <c r="G39" s="201">
        <f t="shared" si="2"/>
        <v>0.07225474797</v>
      </c>
      <c r="I39" s="240"/>
      <c r="J39" s="233" t="s">
        <v>297</v>
      </c>
      <c r="K39" s="233" t="s">
        <v>286</v>
      </c>
      <c r="L39" s="233" t="s">
        <v>298</v>
      </c>
      <c r="M39" s="233" t="s">
        <v>299</v>
      </c>
      <c r="N39" s="233" t="s">
        <v>300</v>
      </c>
      <c r="O39" s="233" t="s">
        <v>301</v>
      </c>
      <c r="P39" s="233" t="s">
        <v>302</v>
      </c>
      <c r="Q39" s="233" t="s">
        <v>303</v>
      </c>
      <c r="Y39" s="205">
        <v>360.6</v>
      </c>
      <c r="Z39" s="206">
        <v>0.0045</v>
      </c>
      <c r="AA39" s="207"/>
      <c r="AB39" s="208">
        <v>309.35</v>
      </c>
      <c r="AC39" s="209">
        <v>-0.0021</v>
      </c>
      <c r="AD39" s="207"/>
      <c r="AE39" s="210">
        <v>103.2</v>
      </c>
      <c r="AF39" s="206">
        <v>-0.0378</v>
      </c>
      <c r="AG39" s="207"/>
      <c r="AH39" s="211">
        <v>1864.25</v>
      </c>
      <c r="AI39" s="206">
        <v>-0.0231</v>
      </c>
    </row>
    <row r="40" ht="15.75" customHeight="1">
      <c r="A40" s="198"/>
      <c r="B40" s="199">
        <v>45431.0</v>
      </c>
      <c r="C40" s="200">
        <v>22957.1</v>
      </c>
      <c r="D40" s="201">
        <f t="shared" si="1"/>
        <v>0.02185515065</v>
      </c>
      <c r="E40" s="81"/>
      <c r="F40" s="200">
        <v>1400.6</v>
      </c>
      <c r="G40" s="201">
        <f t="shared" si="2"/>
        <v>0.01592137236</v>
      </c>
      <c r="I40" s="234" t="s">
        <v>304</v>
      </c>
      <c r="J40" s="235">
        <v>0.00634828</v>
      </c>
      <c r="K40" s="235">
        <v>0.00321717</v>
      </c>
      <c r="L40" s="235">
        <v>1.97324888</v>
      </c>
      <c r="M40" s="235">
        <v>0.04980436</v>
      </c>
      <c r="N40" s="241">
        <v>5.4763E-6</v>
      </c>
      <c r="O40" s="235">
        <v>0.01269109</v>
      </c>
      <c r="P40" s="241">
        <v>5.4763E-6</v>
      </c>
      <c r="Q40" s="235">
        <v>0.01269109</v>
      </c>
      <c r="Y40" s="205">
        <v>359.0</v>
      </c>
      <c r="Z40" s="206">
        <v>-0.0425</v>
      </c>
      <c r="AA40" s="207"/>
      <c r="AB40" s="208">
        <v>310.0</v>
      </c>
      <c r="AC40" s="209">
        <v>-0.0276</v>
      </c>
      <c r="AD40" s="207"/>
      <c r="AE40" s="210">
        <v>107.25</v>
      </c>
      <c r="AF40" s="206">
        <v>0.0469</v>
      </c>
      <c r="AG40" s="207"/>
      <c r="AH40" s="211">
        <v>1908.35</v>
      </c>
      <c r="AI40" s="206">
        <v>-0.0095</v>
      </c>
    </row>
    <row r="41" ht="15.75" customHeight="1">
      <c r="A41" s="198"/>
      <c r="B41" s="199">
        <v>45424.0</v>
      </c>
      <c r="C41" s="200">
        <v>22466.1</v>
      </c>
      <c r="D41" s="201">
        <f t="shared" si="1"/>
        <v>0.01863052704</v>
      </c>
      <c r="E41" s="81"/>
      <c r="F41" s="200">
        <v>1378.65</v>
      </c>
      <c r="G41" s="201">
        <f t="shared" si="2"/>
        <v>0.03896152832</v>
      </c>
      <c r="I41" s="244" t="s">
        <v>305</v>
      </c>
      <c r="J41" s="245">
        <v>0.98885811</v>
      </c>
      <c r="K41" s="239">
        <v>0.17617053</v>
      </c>
      <c r="L41" s="239">
        <v>5.61307328</v>
      </c>
      <c r="M41" s="246">
        <v>6.3697E-8</v>
      </c>
      <c r="N41" s="239">
        <v>0.64152969</v>
      </c>
      <c r="O41" s="239">
        <v>1.33618654</v>
      </c>
      <c r="P41" s="239">
        <v>0.64152969</v>
      </c>
      <c r="Q41" s="239">
        <v>1.33618654</v>
      </c>
      <c r="Y41" s="205">
        <v>374.95</v>
      </c>
      <c r="Z41" s="206">
        <v>0.026</v>
      </c>
      <c r="AA41" s="207"/>
      <c r="AB41" s="208">
        <v>318.8</v>
      </c>
      <c r="AC41" s="209">
        <v>0.018</v>
      </c>
      <c r="AD41" s="207"/>
      <c r="AE41" s="210">
        <v>102.45</v>
      </c>
      <c r="AF41" s="206">
        <v>0.0322</v>
      </c>
      <c r="AG41" s="207"/>
      <c r="AH41" s="211">
        <v>1926.65</v>
      </c>
      <c r="AI41" s="206">
        <v>0.0511</v>
      </c>
    </row>
    <row r="42" ht="15.75" customHeight="1">
      <c r="A42" s="198"/>
      <c r="B42" s="199">
        <v>45417.0</v>
      </c>
      <c r="C42" s="200">
        <v>22055.2</v>
      </c>
      <c r="D42" s="201">
        <f t="shared" si="1"/>
        <v>-0.01871564368</v>
      </c>
      <c r="E42" s="81"/>
      <c r="F42" s="200">
        <v>1326.95</v>
      </c>
      <c r="G42" s="201">
        <f t="shared" si="2"/>
        <v>-0.1059794509</v>
      </c>
      <c r="Y42" s="205">
        <v>365.45</v>
      </c>
      <c r="Z42" s="206">
        <v>0.028</v>
      </c>
      <c r="AA42" s="207"/>
      <c r="AB42" s="208">
        <v>313.15</v>
      </c>
      <c r="AC42" s="209">
        <v>0.0309</v>
      </c>
      <c r="AD42" s="207"/>
      <c r="AE42" s="210">
        <v>99.25</v>
      </c>
      <c r="AF42" s="206">
        <v>0.0503</v>
      </c>
      <c r="AG42" s="207"/>
      <c r="AH42" s="211">
        <v>1833.0</v>
      </c>
      <c r="AI42" s="206">
        <v>0.069</v>
      </c>
    </row>
    <row r="43" ht="15.75" customHeight="1">
      <c r="A43" s="198"/>
      <c r="B43" s="199">
        <v>45410.0</v>
      </c>
      <c r="C43" s="200">
        <v>22475.85</v>
      </c>
      <c r="D43" s="201">
        <f t="shared" si="1"/>
        <v>0.002493315106</v>
      </c>
      <c r="E43" s="81"/>
      <c r="F43" s="200">
        <v>1484.25</v>
      </c>
      <c r="G43" s="201">
        <f t="shared" si="2"/>
        <v>-0.003725332259</v>
      </c>
      <c r="Y43" s="205">
        <v>355.5</v>
      </c>
      <c r="Z43" s="206">
        <v>-0.0259</v>
      </c>
      <c r="AA43" s="207"/>
      <c r="AB43" s="208">
        <v>303.75</v>
      </c>
      <c r="AC43" s="209">
        <v>-0.0228</v>
      </c>
      <c r="AD43" s="207"/>
      <c r="AE43" s="210">
        <v>94.5</v>
      </c>
      <c r="AF43" s="206">
        <v>-0.0479</v>
      </c>
      <c r="AG43" s="207"/>
      <c r="AH43" s="211">
        <v>1714.75</v>
      </c>
      <c r="AI43" s="206">
        <v>-0.0473</v>
      </c>
    </row>
    <row r="44" ht="15.75" customHeight="1">
      <c r="A44" s="198"/>
      <c r="B44" s="199">
        <v>45403.0</v>
      </c>
      <c r="C44" s="200">
        <v>22419.95</v>
      </c>
      <c r="D44" s="201">
        <f t="shared" si="1"/>
        <v>0.01232446833</v>
      </c>
      <c r="E44" s="81"/>
      <c r="F44" s="200">
        <v>1489.8</v>
      </c>
      <c r="G44" s="201">
        <f t="shared" si="2"/>
        <v>-0.00756087</v>
      </c>
      <c r="Y44" s="205">
        <v>364.95</v>
      </c>
      <c r="Z44" s="206">
        <v>0.0251</v>
      </c>
      <c r="AA44" s="207"/>
      <c r="AB44" s="208">
        <v>310.85</v>
      </c>
      <c r="AC44" s="209">
        <v>0.0636</v>
      </c>
      <c r="AD44" s="207"/>
      <c r="AE44" s="210">
        <v>99.25</v>
      </c>
      <c r="AF44" s="206">
        <v>0.0724</v>
      </c>
      <c r="AG44" s="207"/>
      <c r="AH44" s="211">
        <v>1799.8</v>
      </c>
      <c r="AI44" s="206">
        <v>-0.0038</v>
      </c>
    </row>
    <row r="45" ht="15.75" customHeight="1">
      <c r="A45" s="198"/>
      <c r="B45" s="199">
        <v>45396.0</v>
      </c>
      <c r="C45" s="200">
        <v>22147.0</v>
      </c>
      <c r="D45" s="201">
        <f t="shared" si="1"/>
        <v>-0.01653685267</v>
      </c>
      <c r="E45" s="81"/>
      <c r="F45" s="200">
        <v>1501.15</v>
      </c>
      <c r="G45" s="201">
        <f t="shared" si="2"/>
        <v>-0.05050600886</v>
      </c>
      <c r="Y45" s="205">
        <v>356.0</v>
      </c>
      <c r="Z45" s="206">
        <v>0.0155</v>
      </c>
      <c r="AA45" s="207"/>
      <c r="AB45" s="208">
        <v>292.25</v>
      </c>
      <c r="AC45" s="209">
        <v>0.0376</v>
      </c>
      <c r="AD45" s="207"/>
      <c r="AE45" s="210">
        <v>92.55</v>
      </c>
      <c r="AF45" s="206">
        <v>0.062</v>
      </c>
      <c r="AG45" s="207"/>
      <c r="AH45" s="211">
        <v>1806.65</v>
      </c>
      <c r="AI45" s="206">
        <v>0.0207</v>
      </c>
    </row>
    <row r="46" ht="15.75" customHeight="1">
      <c r="A46" s="198"/>
      <c r="B46" s="199">
        <v>45389.0</v>
      </c>
      <c r="C46" s="200">
        <v>22519.4</v>
      </c>
      <c r="D46" s="201">
        <f t="shared" si="1"/>
        <v>0.0002531791753</v>
      </c>
      <c r="E46" s="81"/>
      <c r="F46" s="200">
        <v>1581.0</v>
      </c>
      <c r="G46" s="201">
        <f t="shared" si="2"/>
        <v>0.06075346372</v>
      </c>
      <c r="Y46" s="205">
        <v>350.55</v>
      </c>
      <c r="Z46" s="206">
        <v>-0.031</v>
      </c>
      <c r="AA46" s="207"/>
      <c r="AB46" s="208">
        <v>281.65</v>
      </c>
      <c r="AC46" s="209">
        <v>0.0233</v>
      </c>
      <c r="AD46" s="207"/>
      <c r="AE46" s="210">
        <v>87.15</v>
      </c>
      <c r="AF46" s="206">
        <v>-0.0553</v>
      </c>
      <c r="AG46" s="207"/>
      <c r="AH46" s="211">
        <v>1770.05</v>
      </c>
      <c r="AI46" s="206">
        <v>-0.0605</v>
      </c>
    </row>
    <row r="47" ht="15.75" customHeight="1">
      <c r="A47" s="198"/>
      <c r="B47" s="199">
        <v>45382.0</v>
      </c>
      <c r="C47" s="200">
        <v>22513.7</v>
      </c>
      <c r="D47" s="201">
        <f t="shared" si="1"/>
        <v>0.008366589182</v>
      </c>
      <c r="E47" s="81"/>
      <c r="F47" s="200">
        <v>1490.45</v>
      </c>
      <c r="G47" s="201">
        <f t="shared" si="2"/>
        <v>0.09757354836</v>
      </c>
      <c r="Y47" s="205">
        <v>361.75</v>
      </c>
      <c r="Z47" s="206">
        <v>0.0203</v>
      </c>
      <c r="AA47" s="207"/>
      <c r="AB47" s="208">
        <v>275.25</v>
      </c>
      <c r="AC47" s="209">
        <v>-0.0113</v>
      </c>
      <c r="AD47" s="207"/>
      <c r="AE47" s="210">
        <v>92.25</v>
      </c>
      <c r="AF47" s="206">
        <v>-0.0181</v>
      </c>
      <c r="AG47" s="207"/>
      <c r="AH47" s="211">
        <v>1884.05</v>
      </c>
      <c r="AI47" s="206">
        <v>-0.0094</v>
      </c>
    </row>
    <row r="48" ht="15.75" customHeight="1">
      <c r="A48" s="198"/>
      <c r="B48" s="199">
        <v>45375.0</v>
      </c>
      <c r="C48" s="200">
        <v>22326.9</v>
      </c>
      <c r="D48" s="201">
        <f t="shared" si="1"/>
        <v>0.01041555885</v>
      </c>
      <c r="E48" s="81"/>
      <c r="F48" s="200">
        <v>1357.95</v>
      </c>
      <c r="G48" s="201">
        <f t="shared" si="2"/>
        <v>0.05788182137</v>
      </c>
      <c r="Y48" s="205">
        <v>354.55</v>
      </c>
      <c r="Z48" s="206">
        <v>0.0558</v>
      </c>
      <c r="AA48" s="207"/>
      <c r="AB48" s="208">
        <v>278.4</v>
      </c>
      <c r="AC48" s="209">
        <v>0.0054</v>
      </c>
      <c r="AD48" s="207"/>
      <c r="AE48" s="210">
        <v>93.95</v>
      </c>
      <c r="AF48" s="206">
        <v>0.0474</v>
      </c>
      <c r="AG48" s="207"/>
      <c r="AH48" s="211">
        <v>1901.95</v>
      </c>
      <c r="AI48" s="206">
        <v>0.0364</v>
      </c>
    </row>
    <row r="49" ht="15.75" customHeight="1">
      <c r="A49" s="198"/>
      <c r="B49" s="199">
        <v>45368.0</v>
      </c>
      <c r="C49" s="200">
        <v>22096.75</v>
      </c>
      <c r="D49" s="201">
        <f t="shared" si="1"/>
        <v>0.003332826296</v>
      </c>
      <c r="E49" s="81"/>
      <c r="F49" s="200">
        <v>1283.65</v>
      </c>
      <c r="G49" s="201">
        <f t="shared" si="2"/>
        <v>0.1104719062</v>
      </c>
      <c r="Y49" s="205">
        <v>335.8</v>
      </c>
      <c r="Z49" s="206">
        <v>0.034</v>
      </c>
      <c r="AA49" s="207"/>
      <c r="AB49" s="208">
        <v>276.9</v>
      </c>
      <c r="AC49" s="209">
        <v>0.0042</v>
      </c>
      <c r="AD49" s="207"/>
      <c r="AE49" s="210">
        <v>89.7</v>
      </c>
      <c r="AF49" s="206">
        <v>0.0547</v>
      </c>
      <c r="AG49" s="207"/>
      <c r="AH49" s="211">
        <v>1835.15</v>
      </c>
      <c r="AI49" s="206">
        <v>-0.009</v>
      </c>
    </row>
    <row r="50" ht="15.75" customHeight="1">
      <c r="A50" s="198"/>
      <c r="B50" s="199">
        <v>45361.0</v>
      </c>
      <c r="C50" s="200">
        <v>22023.35</v>
      </c>
      <c r="D50" s="201">
        <f t="shared" si="1"/>
        <v>-0.02090377019</v>
      </c>
      <c r="E50" s="81"/>
      <c r="F50" s="200">
        <v>1155.95</v>
      </c>
      <c r="G50" s="201">
        <f t="shared" si="2"/>
        <v>0.009916127905</v>
      </c>
      <c r="Y50" s="205">
        <v>324.75</v>
      </c>
      <c r="Z50" s="206">
        <v>0.0267</v>
      </c>
      <c r="AA50" s="207"/>
      <c r="AB50" s="208">
        <v>275.75</v>
      </c>
      <c r="AC50" s="209">
        <v>0.0368</v>
      </c>
      <c r="AD50" s="207"/>
      <c r="AE50" s="210">
        <v>85.05</v>
      </c>
      <c r="AF50" s="206">
        <v>0.0253</v>
      </c>
      <c r="AG50" s="207"/>
      <c r="AH50" s="211">
        <v>1851.75</v>
      </c>
      <c r="AI50" s="206">
        <v>-0.0267</v>
      </c>
    </row>
    <row r="51" ht="15.75" customHeight="1">
      <c r="A51" s="198"/>
      <c r="B51" s="199">
        <v>45354.0</v>
      </c>
      <c r="C51" s="200">
        <v>22493.55</v>
      </c>
      <c r="D51" s="201">
        <f t="shared" si="1"/>
        <v>0.006929662582</v>
      </c>
      <c r="E51" s="81"/>
      <c r="F51" s="200">
        <v>1144.6</v>
      </c>
      <c r="G51" s="201">
        <f t="shared" si="2"/>
        <v>0.02539753639</v>
      </c>
      <c r="Y51" s="205">
        <v>316.3</v>
      </c>
      <c r="Z51" s="206">
        <v>-0.1019</v>
      </c>
      <c r="AA51" s="207"/>
      <c r="AB51" s="208">
        <v>265.95</v>
      </c>
      <c r="AC51" s="209">
        <v>-0.0912</v>
      </c>
      <c r="AD51" s="207"/>
      <c r="AE51" s="210">
        <v>82.95</v>
      </c>
      <c r="AF51" s="206">
        <v>-0.0788</v>
      </c>
      <c r="AG51" s="207"/>
      <c r="AH51" s="211">
        <v>1902.6</v>
      </c>
      <c r="AI51" s="206">
        <v>-0.0137</v>
      </c>
    </row>
    <row r="52" ht="15.75" customHeight="1">
      <c r="A52" s="198"/>
      <c r="B52" s="199">
        <v>45347.0</v>
      </c>
      <c r="C52" s="200">
        <v>22338.75</v>
      </c>
      <c r="D52" s="201">
        <f t="shared" si="1"/>
        <v>0.005674681601</v>
      </c>
      <c r="E52" s="81"/>
      <c r="F52" s="200">
        <v>1116.25</v>
      </c>
      <c r="G52" s="201">
        <f t="shared" si="2"/>
        <v>-0.008570921041</v>
      </c>
      <c r="Y52" s="205">
        <v>352.2</v>
      </c>
      <c r="Z52" s="206">
        <v>0.0253</v>
      </c>
      <c r="AA52" s="207"/>
      <c r="AB52" s="208">
        <v>292.65</v>
      </c>
      <c r="AC52" s="209">
        <v>0.0172</v>
      </c>
      <c r="AD52" s="207"/>
      <c r="AE52" s="210">
        <v>90.05</v>
      </c>
      <c r="AF52" s="206">
        <v>0.0022</v>
      </c>
      <c r="AG52" s="207"/>
      <c r="AH52" s="211">
        <v>1929.1</v>
      </c>
      <c r="AI52" s="206">
        <v>-0.0205</v>
      </c>
    </row>
    <row r="53" ht="15.75" customHeight="1">
      <c r="A53" s="198"/>
      <c r="B53" s="199">
        <v>45340.0</v>
      </c>
      <c r="C53" s="200">
        <v>22212.7</v>
      </c>
      <c r="D53" s="201">
        <f t="shared" si="1"/>
        <v>0.00780374489</v>
      </c>
      <c r="E53" s="81"/>
      <c r="F53" s="200">
        <v>1125.9</v>
      </c>
      <c r="G53" s="201">
        <f t="shared" si="2"/>
        <v>-0.04056242011</v>
      </c>
      <c r="Y53" s="205">
        <v>343.5</v>
      </c>
      <c r="Z53" s="206">
        <v>0.017</v>
      </c>
      <c r="AA53" s="207"/>
      <c r="AB53" s="208">
        <v>287.7</v>
      </c>
      <c r="AC53" s="209">
        <v>0.0204</v>
      </c>
      <c r="AD53" s="207"/>
      <c r="AE53" s="210">
        <v>89.85</v>
      </c>
      <c r="AF53" s="206">
        <v>-0.0196</v>
      </c>
      <c r="AG53" s="207"/>
      <c r="AH53" s="211">
        <v>1969.55</v>
      </c>
      <c r="AI53" s="206">
        <v>0.024</v>
      </c>
    </row>
    <row r="54" ht="15.75" customHeight="1">
      <c r="A54" s="198"/>
      <c r="B54" s="199">
        <v>45333.0</v>
      </c>
      <c r="C54" s="200">
        <v>22040.7</v>
      </c>
      <c r="D54" s="201">
        <f t="shared" si="1"/>
        <v>0.01185355216</v>
      </c>
      <c r="E54" s="81"/>
      <c r="F54" s="200">
        <v>1173.5</v>
      </c>
      <c r="G54" s="201">
        <f t="shared" si="2"/>
        <v>0.00004260939963</v>
      </c>
      <c r="Y54" s="205">
        <v>337.75</v>
      </c>
      <c r="Z54" s="206">
        <v>0.0</v>
      </c>
      <c r="AA54" s="207"/>
      <c r="AB54" s="208">
        <v>281.95</v>
      </c>
      <c r="AC54" s="209">
        <v>0.027</v>
      </c>
      <c r="AD54" s="207"/>
      <c r="AE54" s="210">
        <v>91.65</v>
      </c>
      <c r="AF54" s="206">
        <v>-0.0129</v>
      </c>
      <c r="AG54" s="207"/>
      <c r="AH54" s="211">
        <v>1923.3</v>
      </c>
      <c r="AI54" s="206">
        <v>0.0097</v>
      </c>
    </row>
    <row r="55" ht="15.75" customHeight="1">
      <c r="A55" s="198"/>
      <c r="B55" s="199">
        <v>45326.0</v>
      </c>
      <c r="C55" s="200">
        <v>21782.5</v>
      </c>
      <c r="D55" s="201">
        <f t="shared" si="1"/>
        <v>-0.003262590488</v>
      </c>
      <c r="E55" s="81"/>
      <c r="F55" s="200">
        <v>1173.45</v>
      </c>
      <c r="G55" s="201">
        <f t="shared" si="2"/>
        <v>0.1025556704</v>
      </c>
      <c r="Y55" s="205">
        <v>337.75</v>
      </c>
      <c r="Z55" s="206">
        <v>0.0396</v>
      </c>
      <c r="AA55" s="207"/>
      <c r="AB55" s="208">
        <v>274.55</v>
      </c>
      <c r="AC55" s="209">
        <v>0.0057</v>
      </c>
      <c r="AD55" s="207"/>
      <c r="AE55" s="210">
        <v>92.85</v>
      </c>
      <c r="AF55" s="206">
        <v>-0.0353</v>
      </c>
      <c r="AG55" s="207"/>
      <c r="AH55" s="211">
        <v>1904.75</v>
      </c>
      <c r="AI55" s="206">
        <v>0.0128</v>
      </c>
    </row>
    <row r="56" ht="15.75" customHeight="1">
      <c r="A56" s="198"/>
      <c r="B56" s="199">
        <v>45319.0</v>
      </c>
      <c r="C56" s="200">
        <v>21853.8</v>
      </c>
      <c r="D56" s="201">
        <f t="shared" si="1"/>
        <v>0.02347255135</v>
      </c>
      <c r="E56" s="81"/>
      <c r="F56" s="200">
        <v>1064.3</v>
      </c>
      <c r="G56" s="201">
        <f t="shared" si="2"/>
        <v>0.06344924061</v>
      </c>
      <c r="Y56" s="205">
        <v>324.9</v>
      </c>
      <c r="Z56" s="206">
        <v>-0.0229</v>
      </c>
      <c r="AA56" s="207"/>
      <c r="AB56" s="208">
        <v>273.0</v>
      </c>
      <c r="AC56" s="209">
        <v>-0.0148</v>
      </c>
      <c r="AD56" s="207"/>
      <c r="AE56" s="210">
        <v>96.25</v>
      </c>
      <c r="AF56" s="206">
        <v>-0.0437</v>
      </c>
      <c r="AG56" s="207"/>
      <c r="AH56" s="211">
        <v>1880.7</v>
      </c>
      <c r="AI56" s="206">
        <v>0.1233</v>
      </c>
    </row>
    <row r="57" ht="15.75" customHeight="1">
      <c r="A57" s="198"/>
      <c r="B57" s="199">
        <v>45312.0</v>
      </c>
      <c r="C57" s="200">
        <v>21352.6</v>
      </c>
      <c r="D57" s="201">
        <f t="shared" si="1"/>
        <v>-0.0124778008</v>
      </c>
      <c r="E57" s="81"/>
      <c r="F57" s="200">
        <v>1000.8</v>
      </c>
      <c r="G57" s="201">
        <f t="shared" si="2"/>
        <v>0.01198240558</v>
      </c>
      <c r="Y57" s="205">
        <v>332.5</v>
      </c>
      <c r="Z57" s="206">
        <v>0.0564</v>
      </c>
      <c r="AA57" s="207"/>
      <c r="AB57" s="208">
        <v>277.1</v>
      </c>
      <c r="AC57" s="209">
        <v>0.1287</v>
      </c>
      <c r="AD57" s="207"/>
      <c r="AE57" s="210">
        <v>100.65</v>
      </c>
      <c r="AF57" s="206">
        <v>0.2083</v>
      </c>
      <c r="AG57" s="207"/>
      <c r="AH57" s="211">
        <v>1674.25</v>
      </c>
      <c r="AI57" s="206">
        <v>0.0057</v>
      </c>
    </row>
    <row r="58" ht="15.75" customHeight="1">
      <c r="A58" s="198"/>
      <c r="B58" s="199">
        <v>45305.0</v>
      </c>
      <c r="C58" s="200">
        <v>21622.4</v>
      </c>
      <c r="D58" s="201">
        <f t="shared" si="1"/>
        <v>-0.01243003396</v>
      </c>
      <c r="E58" s="81"/>
      <c r="F58" s="247">
        <v>988.95</v>
      </c>
      <c r="G58" s="201">
        <f t="shared" si="2"/>
        <v>-0.02427112624</v>
      </c>
      <c r="Y58" s="205">
        <v>314.75</v>
      </c>
      <c r="Z58" s="206">
        <v>0.0204</v>
      </c>
      <c r="AA58" s="207"/>
      <c r="AB58" s="208">
        <v>245.5</v>
      </c>
      <c r="AC58" s="209">
        <v>0.0429</v>
      </c>
      <c r="AD58" s="207"/>
      <c r="AE58" s="210">
        <v>83.3</v>
      </c>
      <c r="AF58" s="206">
        <v>0.1326</v>
      </c>
      <c r="AG58" s="207"/>
      <c r="AH58" s="211">
        <v>1664.8</v>
      </c>
      <c r="AI58" s="206">
        <v>0.0599</v>
      </c>
    </row>
    <row r="59" ht="15.75" customHeight="1">
      <c r="A59" s="198"/>
      <c r="B59" s="199">
        <v>45298.0</v>
      </c>
      <c r="C59" s="200">
        <v>21894.55</v>
      </c>
      <c r="D59" s="201">
        <f t="shared" si="1"/>
        <v>0.008463529672</v>
      </c>
      <c r="E59" s="81"/>
      <c r="F59" s="200">
        <v>1013.55</v>
      </c>
      <c r="G59" s="201">
        <f t="shared" si="2"/>
        <v>-0.02374301676</v>
      </c>
      <c r="Y59" s="205">
        <v>308.45</v>
      </c>
      <c r="Z59" s="206">
        <v>-0.0134</v>
      </c>
      <c r="AA59" s="207"/>
      <c r="AB59" s="208">
        <v>235.4</v>
      </c>
      <c r="AC59" s="209">
        <v>-0.0171</v>
      </c>
      <c r="AD59" s="207"/>
      <c r="AE59" s="210">
        <v>73.55</v>
      </c>
      <c r="AF59" s="206">
        <v>0.0636</v>
      </c>
      <c r="AG59" s="207"/>
      <c r="AH59" s="211">
        <v>1570.75</v>
      </c>
      <c r="AI59" s="206">
        <v>-0.0818</v>
      </c>
    </row>
    <row r="60" ht="15.75" customHeight="1">
      <c r="A60" s="198"/>
      <c r="B60" s="199">
        <v>45291.0</v>
      </c>
      <c r="C60" s="200">
        <v>21710.8</v>
      </c>
      <c r="D60" s="201">
        <f t="shared" si="1"/>
        <v>-0.0009479370864</v>
      </c>
      <c r="E60" s="81"/>
      <c r="F60" s="200">
        <v>1038.2</v>
      </c>
      <c r="G60" s="201">
        <f t="shared" si="2"/>
        <v>0.1117417144</v>
      </c>
      <c r="Y60" s="205">
        <v>312.65</v>
      </c>
      <c r="Z60" s="206">
        <v>-0.0073</v>
      </c>
      <c r="AA60" s="207"/>
      <c r="AB60" s="208">
        <v>239.5</v>
      </c>
      <c r="AC60" s="209">
        <v>-0.0073</v>
      </c>
      <c r="AD60" s="207"/>
      <c r="AE60" s="210">
        <v>69.15</v>
      </c>
      <c r="AF60" s="206">
        <v>-0.0389</v>
      </c>
      <c r="AG60" s="207"/>
      <c r="AH60" s="211">
        <v>1710.7</v>
      </c>
      <c r="AI60" s="206">
        <v>0.0219</v>
      </c>
    </row>
    <row r="61" ht="15.75" customHeight="1">
      <c r="A61" s="198"/>
      <c r="B61" s="199">
        <v>45284.0</v>
      </c>
      <c r="C61" s="200">
        <v>21731.4</v>
      </c>
      <c r="D61" s="201">
        <f t="shared" si="1"/>
        <v>0.0178927745</v>
      </c>
      <c r="E61" s="81"/>
      <c r="F61" s="247">
        <v>933.85</v>
      </c>
      <c r="G61" s="201">
        <f t="shared" si="2"/>
        <v>0.02227695676</v>
      </c>
      <c r="Y61" s="205">
        <v>314.95</v>
      </c>
      <c r="Z61" s="206">
        <v>0.0122</v>
      </c>
      <c r="AA61" s="207"/>
      <c r="AB61" s="208">
        <v>241.25</v>
      </c>
      <c r="AC61" s="209">
        <v>0.0171</v>
      </c>
      <c r="AD61" s="207"/>
      <c r="AE61" s="210">
        <v>71.95</v>
      </c>
      <c r="AF61" s="206">
        <v>0.1138</v>
      </c>
      <c r="AG61" s="207"/>
      <c r="AH61" s="211">
        <v>1674.0</v>
      </c>
      <c r="AI61" s="206">
        <v>0.0482</v>
      </c>
    </row>
    <row r="62" ht="15.75" customHeight="1">
      <c r="A62" s="198"/>
      <c r="B62" s="199">
        <v>45277.0</v>
      </c>
      <c r="C62" s="200">
        <v>21349.4</v>
      </c>
      <c r="D62" s="201">
        <f t="shared" si="1"/>
        <v>-0.004998450364</v>
      </c>
      <c r="E62" s="81"/>
      <c r="F62" s="247">
        <v>913.5</v>
      </c>
      <c r="G62" s="201">
        <f t="shared" si="2"/>
        <v>0.01782729805</v>
      </c>
      <c r="Y62" s="205">
        <v>311.15</v>
      </c>
      <c r="Z62" s="206">
        <v>0.0276</v>
      </c>
      <c r="AA62" s="207"/>
      <c r="AB62" s="208">
        <v>237.2</v>
      </c>
      <c r="AC62" s="209">
        <v>0.0235</v>
      </c>
      <c r="AD62" s="207"/>
      <c r="AE62" s="210">
        <v>64.6</v>
      </c>
      <c r="AF62" s="206">
        <v>-0.0015</v>
      </c>
      <c r="AG62" s="207"/>
      <c r="AH62" s="211">
        <v>1597.0</v>
      </c>
      <c r="AI62" s="206">
        <v>0.0417</v>
      </c>
    </row>
    <row r="63" ht="15.75" customHeight="1">
      <c r="A63" s="198"/>
      <c r="B63" s="199">
        <v>45270.0</v>
      </c>
      <c r="C63" s="200">
        <v>21456.65</v>
      </c>
      <c r="D63" s="201">
        <f t="shared" si="1"/>
        <v>0.02323623947</v>
      </c>
      <c r="E63" s="81"/>
      <c r="F63" s="247">
        <v>897.5</v>
      </c>
      <c r="G63" s="201">
        <f t="shared" si="2"/>
        <v>-0.07153571613</v>
      </c>
      <c r="Y63" s="205">
        <v>302.8</v>
      </c>
      <c r="Z63" s="206">
        <v>-0.0075</v>
      </c>
      <c r="AA63" s="207"/>
      <c r="AB63" s="208">
        <v>231.75</v>
      </c>
      <c r="AC63" s="209">
        <v>-0.0236</v>
      </c>
      <c r="AD63" s="207"/>
      <c r="AE63" s="210">
        <v>64.7</v>
      </c>
      <c r="AF63" s="206">
        <v>-0.0054</v>
      </c>
      <c r="AG63" s="207"/>
      <c r="AH63" s="211">
        <v>1533.1</v>
      </c>
      <c r="AI63" s="206">
        <v>0.0042</v>
      </c>
    </row>
    <row r="64" ht="15.75" customHeight="1">
      <c r="A64" s="198"/>
      <c r="B64" s="199">
        <v>45263.0</v>
      </c>
      <c r="C64" s="200">
        <v>20969.4</v>
      </c>
      <c r="D64" s="201">
        <f t="shared" si="1"/>
        <v>0.03461138056</v>
      </c>
      <c r="E64" s="81"/>
      <c r="F64" s="247">
        <v>966.65</v>
      </c>
      <c r="G64" s="201">
        <f t="shared" si="2"/>
        <v>0.0149089191</v>
      </c>
      <c r="Y64" s="205">
        <v>305.1</v>
      </c>
      <c r="Z64" s="206">
        <v>0.0703</v>
      </c>
      <c r="AA64" s="207"/>
      <c r="AB64" s="208">
        <v>237.35</v>
      </c>
      <c r="AC64" s="209">
        <v>0.0383</v>
      </c>
      <c r="AD64" s="207"/>
      <c r="AE64" s="210">
        <v>65.05</v>
      </c>
      <c r="AF64" s="206">
        <v>0.0293</v>
      </c>
      <c r="AG64" s="207"/>
      <c r="AH64" s="211">
        <v>1526.65</v>
      </c>
      <c r="AI64" s="206">
        <v>-0.0153</v>
      </c>
    </row>
    <row r="65" ht="15.75" customHeight="1">
      <c r="A65" s="198"/>
      <c r="B65" s="199">
        <v>45256.0</v>
      </c>
      <c r="C65" s="200">
        <v>20267.9</v>
      </c>
      <c r="D65" s="201">
        <f t="shared" si="1"/>
        <v>0.02390538882</v>
      </c>
      <c r="E65" s="81"/>
      <c r="F65" s="247">
        <v>952.45</v>
      </c>
      <c r="G65" s="201">
        <f t="shared" si="2"/>
        <v>0.1672181373</v>
      </c>
      <c r="Y65" s="205">
        <v>285.05</v>
      </c>
      <c r="Z65" s="206">
        <v>0.0599</v>
      </c>
      <c r="AA65" s="207"/>
      <c r="AB65" s="208">
        <v>228.6</v>
      </c>
      <c r="AC65" s="209">
        <v>0.0875</v>
      </c>
      <c r="AD65" s="207"/>
      <c r="AE65" s="210">
        <v>63.2</v>
      </c>
      <c r="AF65" s="206">
        <v>0.1206</v>
      </c>
      <c r="AG65" s="207"/>
      <c r="AH65" s="211">
        <v>1550.3</v>
      </c>
      <c r="AI65" s="206">
        <v>0.5103</v>
      </c>
    </row>
    <row r="66" ht="15.75" customHeight="1">
      <c r="A66" s="198"/>
      <c r="B66" s="199">
        <v>45249.0</v>
      </c>
      <c r="C66" s="200">
        <v>19794.7</v>
      </c>
      <c r="D66" s="201">
        <f t="shared" si="1"/>
        <v>0.003187747697</v>
      </c>
      <c r="E66" s="81"/>
      <c r="F66" s="247">
        <v>816.0</v>
      </c>
      <c r="G66" s="201">
        <f t="shared" si="2"/>
        <v>-0.02158273381</v>
      </c>
      <c r="Y66" s="205">
        <v>268.95</v>
      </c>
      <c r="Z66" s="206">
        <v>0.0593</v>
      </c>
      <c r="AA66" s="207"/>
      <c r="AB66" s="208">
        <v>210.2</v>
      </c>
      <c r="AC66" s="209">
        <v>-0.0012</v>
      </c>
      <c r="AD66" s="207"/>
      <c r="AE66" s="210">
        <v>56.4</v>
      </c>
      <c r="AF66" s="206">
        <v>0.0311</v>
      </c>
      <c r="AG66" s="207"/>
      <c r="AH66" s="211">
        <v>1026.5</v>
      </c>
      <c r="AI66" s="206">
        <v>0.0945</v>
      </c>
    </row>
    <row r="67" ht="15.75" customHeight="1">
      <c r="A67" s="198"/>
      <c r="B67" s="199">
        <v>45242.0</v>
      </c>
      <c r="C67" s="200">
        <v>19731.8</v>
      </c>
      <c r="D67" s="201">
        <f t="shared" si="1"/>
        <v>0.01577577753</v>
      </c>
      <c r="E67" s="81"/>
      <c r="F67" s="247">
        <v>834.0</v>
      </c>
      <c r="G67" s="201">
        <f t="shared" si="2"/>
        <v>0.07246190446</v>
      </c>
      <c r="Y67" s="205">
        <v>253.9</v>
      </c>
      <c r="Z67" s="206">
        <v>0.0091</v>
      </c>
      <c r="AA67" s="207"/>
      <c r="AB67" s="208">
        <v>210.45</v>
      </c>
      <c r="AC67" s="209">
        <v>0.0045</v>
      </c>
      <c r="AD67" s="207"/>
      <c r="AE67" s="210">
        <v>54.7</v>
      </c>
      <c r="AF67" s="206">
        <v>0.038</v>
      </c>
      <c r="AG67" s="207"/>
      <c r="AH67" s="210">
        <v>937.9</v>
      </c>
      <c r="AI67" s="206">
        <v>0.0019</v>
      </c>
    </row>
    <row r="68" ht="15.75" customHeight="1">
      <c r="A68" s="198"/>
      <c r="B68" s="199">
        <v>45235.0</v>
      </c>
      <c r="C68" s="200">
        <v>19425.35</v>
      </c>
      <c r="D68" s="201">
        <f t="shared" si="1"/>
        <v>0.01012708912</v>
      </c>
      <c r="E68" s="81"/>
      <c r="F68" s="247">
        <v>777.65</v>
      </c>
      <c r="G68" s="201">
        <f t="shared" si="2"/>
        <v>0.04312541918</v>
      </c>
      <c r="Y68" s="205">
        <v>251.6</v>
      </c>
      <c r="Z68" s="206">
        <v>0.0365</v>
      </c>
      <c r="AA68" s="207"/>
      <c r="AB68" s="208">
        <v>209.5</v>
      </c>
      <c r="AC68" s="209">
        <v>-0.0078</v>
      </c>
      <c r="AD68" s="207"/>
      <c r="AE68" s="210">
        <v>52.7</v>
      </c>
      <c r="AF68" s="206">
        <v>0.0213</v>
      </c>
      <c r="AG68" s="207"/>
      <c r="AH68" s="210">
        <v>936.1</v>
      </c>
      <c r="AI68" s="206">
        <v>-0.0028</v>
      </c>
    </row>
    <row r="69" ht="15.75" customHeight="1">
      <c r="A69" s="198"/>
      <c r="B69" s="199">
        <v>45228.0</v>
      </c>
      <c r="C69" s="200">
        <v>19230.6</v>
      </c>
      <c r="D69" s="201">
        <f t="shared" si="1"/>
        <v>0.009626061505</v>
      </c>
      <c r="E69" s="81"/>
      <c r="F69" s="247">
        <v>745.5</v>
      </c>
      <c r="G69" s="201">
        <f t="shared" si="2"/>
        <v>0.0354885756</v>
      </c>
      <c r="Y69" s="205">
        <v>242.75</v>
      </c>
      <c r="Z69" s="206">
        <v>0.0358</v>
      </c>
      <c r="AA69" s="207"/>
      <c r="AB69" s="208">
        <v>211.15</v>
      </c>
      <c r="AC69" s="209">
        <v>0.033</v>
      </c>
      <c r="AD69" s="207"/>
      <c r="AE69" s="210">
        <v>51.6</v>
      </c>
      <c r="AF69" s="206">
        <v>0.0289</v>
      </c>
      <c r="AG69" s="207"/>
      <c r="AH69" s="210">
        <v>938.7</v>
      </c>
      <c r="AI69" s="206">
        <v>0.0399</v>
      </c>
    </row>
    <row r="70" ht="15.75" customHeight="1">
      <c r="A70" s="198"/>
      <c r="B70" s="199">
        <v>45221.0</v>
      </c>
      <c r="C70" s="200">
        <v>19047.25</v>
      </c>
      <c r="D70" s="201">
        <f t="shared" si="1"/>
        <v>-0.0253496839</v>
      </c>
      <c r="E70" s="81"/>
      <c r="F70" s="247">
        <v>719.95</v>
      </c>
      <c r="G70" s="201">
        <f t="shared" si="2"/>
        <v>-0.02100897471</v>
      </c>
      <c r="Y70" s="205">
        <v>234.35</v>
      </c>
      <c r="Z70" s="206">
        <v>-0.0095</v>
      </c>
      <c r="AA70" s="207"/>
      <c r="AB70" s="208">
        <v>204.4</v>
      </c>
      <c r="AC70" s="209">
        <v>0.0172</v>
      </c>
      <c r="AD70" s="207"/>
      <c r="AE70" s="210">
        <v>50.15</v>
      </c>
      <c r="AF70" s="206">
        <v>-0.0099</v>
      </c>
      <c r="AG70" s="207"/>
      <c r="AH70" s="210">
        <v>902.7</v>
      </c>
      <c r="AI70" s="206">
        <v>0.0365</v>
      </c>
    </row>
    <row r="71" ht="15.75" customHeight="1">
      <c r="A71" s="198"/>
      <c r="B71" s="199">
        <v>45214.0</v>
      </c>
      <c r="C71" s="200">
        <v>19542.65</v>
      </c>
      <c r="D71" s="201">
        <f t="shared" si="1"/>
        <v>-0.01055133778</v>
      </c>
      <c r="E71" s="81"/>
      <c r="F71" s="247">
        <v>735.4</v>
      </c>
      <c r="G71" s="201">
        <f t="shared" si="2"/>
        <v>0.007466264813</v>
      </c>
      <c r="Y71" s="205">
        <v>236.6</v>
      </c>
      <c r="Z71" s="206">
        <v>-0.0183</v>
      </c>
      <c r="AA71" s="207"/>
      <c r="AB71" s="208">
        <v>200.95</v>
      </c>
      <c r="AC71" s="209">
        <v>-0.0094</v>
      </c>
      <c r="AD71" s="207"/>
      <c r="AE71" s="210">
        <v>50.65</v>
      </c>
      <c r="AF71" s="206">
        <v>-0.0165</v>
      </c>
      <c r="AG71" s="207"/>
      <c r="AH71" s="210">
        <v>870.9</v>
      </c>
      <c r="AI71" s="206">
        <v>-0.0535</v>
      </c>
    </row>
    <row r="72" ht="15.75" customHeight="1">
      <c r="A72" s="198"/>
      <c r="B72" s="199">
        <v>45207.0</v>
      </c>
      <c r="C72" s="200">
        <v>19751.05</v>
      </c>
      <c r="D72" s="201">
        <f t="shared" si="1"/>
        <v>0.004963492508</v>
      </c>
      <c r="E72" s="81"/>
      <c r="F72" s="247">
        <v>729.95</v>
      </c>
      <c r="G72" s="201">
        <f t="shared" si="2"/>
        <v>-0.0001369769194</v>
      </c>
      <c r="Y72" s="205">
        <v>241.0</v>
      </c>
      <c r="Z72" s="206">
        <v>-0.0043</v>
      </c>
      <c r="AA72" s="207"/>
      <c r="AB72" s="208">
        <v>202.85</v>
      </c>
      <c r="AC72" s="209">
        <v>0.0052</v>
      </c>
      <c r="AD72" s="207"/>
      <c r="AE72" s="210">
        <v>51.5</v>
      </c>
      <c r="AF72" s="206">
        <v>-0.0181</v>
      </c>
      <c r="AG72" s="207"/>
      <c r="AH72" s="210">
        <v>920.15</v>
      </c>
      <c r="AI72" s="206">
        <v>-0.0303</v>
      </c>
    </row>
    <row r="73" ht="15.75" customHeight="1">
      <c r="A73" s="198"/>
      <c r="B73" s="199">
        <v>45200.0</v>
      </c>
      <c r="C73" s="200">
        <v>19653.5</v>
      </c>
      <c r="D73" s="201">
        <f t="shared" si="1"/>
        <v>0.0007739977493</v>
      </c>
      <c r="E73" s="81"/>
      <c r="F73" s="247">
        <v>730.05</v>
      </c>
      <c r="G73" s="201">
        <f t="shared" si="2"/>
        <v>-0.01144211239</v>
      </c>
      <c r="Y73" s="205">
        <v>242.05</v>
      </c>
      <c r="Z73" s="206">
        <v>0.0276</v>
      </c>
      <c r="AA73" s="207"/>
      <c r="AB73" s="208">
        <v>201.8</v>
      </c>
      <c r="AC73" s="209">
        <v>0.0241</v>
      </c>
      <c r="AD73" s="207"/>
      <c r="AE73" s="210">
        <v>52.45</v>
      </c>
      <c r="AF73" s="206">
        <v>-0.0132</v>
      </c>
      <c r="AG73" s="207"/>
      <c r="AH73" s="210">
        <v>948.9</v>
      </c>
      <c r="AI73" s="206">
        <v>-0.0128</v>
      </c>
    </row>
    <row r="74" ht="15.75" customHeight="1">
      <c r="A74" s="198"/>
      <c r="B74" s="199">
        <v>45193.0</v>
      </c>
      <c r="C74" s="200">
        <v>19638.3</v>
      </c>
      <c r="D74" s="201">
        <f t="shared" si="1"/>
        <v>-0.001827261522</v>
      </c>
      <c r="E74" s="81"/>
      <c r="F74" s="247">
        <v>738.5</v>
      </c>
      <c r="G74" s="201">
        <f t="shared" si="2"/>
        <v>0.03860488011</v>
      </c>
      <c r="Y74" s="205">
        <v>235.55</v>
      </c>
      <c r="Z74" s="206">
        <v>-0.0407</v>
      </c>
      <c r="AA74" s="207"/>
      <c r="AB74" s="208">
        <v>197.05</v>
      </c>
      <c r="AC74" s="209">
        <v>-0.0135</v>
      </c>
      <c r="AD74" s="207"/>
      <c r="AE74" s="210">
        <v>53.15</v>
      </c>
      <c r="AF74" s="206">
        <v>0.0066</v>
      </c>
      <c r="AG74" s="207"/>
      <c r="AH74" s="210">
        <v>961.25</v>
      </c>
      <c r="AI74" s="206">
        <v>-0.0262</v>
      </c>
    </row>
    <row r="75" ht="15.75" customHeight="1">
      <c r="A75" s="198"/>
      <c r="B75" s="199">
        <v>45186.0</v>
      </c>
      <c r="C75" s="200">
        <v>19674.25</v>
      </c>
      <c r="D75" s="201">
        <f t="shared" si="1"/>
        <v>-0.02565823195</v>
      </c>
      <c r="E75" s="81"/>
      <c r="F75" s="247">
        <v>711.05</v>
      </c>
      <c r="G75" s="201">
        <f t="shared" si="2"/>
        <v>-0.01809017469</v>
      </c>
      <c r="Y75" s="205">
        <v>245.55</v>
      </c>
      <c r="Z75" s="206">
        <v>0.0319</v>
      </c>
      <c r="AA75" s="207"/>
      <c r="AB75" s="208">
        <v>199.75</v>
      </c>
      <c r="AC75" s="209">
        <v>0.003</v>
      </c>
      <c r="AD75" s="207"/>
      <c r="AE75" s="210">
        <v>52.8</v>
      </c>
      <c r="AF75" s="206">
        <v>0.0144</v>
      </c>
      <c r="AG75" s="207"/>
      <c r="AH75" s="210">
        <v>987.15</v>
      </c>
      <c r="AI75" s="206">
        <v>-0.0311</v>
      </c>
    </row>
    <row r="76" ht="15.75" customHeight="1">
      <c r="A76" s="198"/>
      <c r="B76" s="199">
        <v>45179.0</v>
      </c>
      <c r="C76" s="200">
        <v>20192.35</v>
      </c>
      <c r="D76" s="201">
        <f t="shared" si="1"/>
        <v>0.01878914932</v>
      </c>
      <c r="E76" s="81"/>
      <c r="F76" s="247">
        <v>724.15</v>
      </c>
      <c r="G76" s="201">
        <f t="shared" si="2"/>
        <v>-0.001791991178</v>
      </c>
      <c r="Y76" s="205">
        <v>237.95</v>
      </c>
      <c r="Z76" s="206">
        <v>0.0074</v>
      </c>
      <c r="AA76" s="207"/>
      <c r="AB76" s="208">
        <v>199.15</v>
      </c>
      <c r="AC76" s="209">
        <v>0.026</v>
      </c>
      <c r="AD76" s="207"/>
      <c r="AE76" s="210">
        <v>52.05</v>
      </c>
      <c r="AF76" s="206">
        <v>-0.0502</v>
      </c>
      <c r="AG76" s="207"/>
      <c r="AH76" s="211">
        <v>1018.8</v>
      </c>
      <c r="AI76" s="206">
        <v>0.0123</v>
      </c>
    </row>
    <row r="77" ht="15.75" customHeight="1">
      <c r="A77" s="198"/>
      <c r="B77" s="199">
        <v>45172.0</v>
      </c>
      <c r="C77" s="200">
        <v>19819.95</v>
      </c>
      <c r="D77" s="201">
        <f t="shared" si="1"/>
        <v>0.01979130757</v>
      </c>
      <c r="E77" s="81"/>
      <c r="F77" s="247">
        <v>725.45</v>
      </c>
      <c r="G77" s="201">
        <f t="shared" si="2"/>
        <v>0.09057426338</v>
      </c>
      <c r="Y77" s="205">
        <v>236.2</v>
      </c>
      <c r="Z77" s="206">
        <v>-0.0169</v>
      </c>
      <c r="AA77" s="207"/>
      <c r="AB77" s="208">
        <v>194.1</v>
      </c>
      <c r="AC77" s="209">
        <v>6.0E-4</v>
      </c>
      <c r="AD77" s="207"/>
      <c r="AE77" s="210">
        <v>54.8</v>
      </c>
      <c r="AF77" s="206">
        <v>0.0379</v>
      </c>
      <c r="AG77" s="207"/>
      <c r="AH77" s="211">
        <v>1006.45</v>
      </c>
      <c r="AI77" s="206">
        <v>0.0052</v>
      </c>
    </row>
    <row r="78" ht="15.75" customHeight="1">
      <c r="A78" s="198"/>
      <c r="B78" s="199">
        <v>45165.0</v>
      </c>
      <c r="C78" s="200">
        <v>19435.3</v>
      </c>
      <c r="D78" s="201">
        <f t="shared" si="1"/>
        <v>0.008797973611</v>
      </c>
      <c r="E78" s="81"/>
      <c r="F78" s="247">
        <v>665.2</v>
      </c>
      <c r="G78" s="201">
        <f t="shared" si="2"/>
        <v>-0.001725819764</v>
      </c>
      <c r="Y78" s="205">
        <v>240.25</v>
      </c>
      <c r="Z78" s="206">
        <v>0.0414</v>
      </c>
      <c r="AA78" s="207"/>
      <c r="AB78" s="208">
        <v>193.99</v>
      </c>
      <c r="AC78" s="209">
        <v>0.0256</v>
      </c>
      <c r="AD78" s="207"/>
      <c r="AE78" s="210">
        <v>52.8</v>
      </c>
      <c r="AF78" s="206">
        <v>0.0507</v>
      </c>
      <c r="AG78" s="207"/>
      <c r="AH78" s="211">
        <v>1001.2</v>
      </c>
      <c r="AI78" s="206">
        <v>0.0549</v>
      </c>
    </row>
    <row r="79" ht="15.75" customHeight="1">
      <c r="A79" s="198"/>
      <c r="B79" s="199">
        <v>45158.0</v>
      </c>
      <c r="C79" s="200">
        <v>19265.8</v>
      </c>
      <c r="D79" s="201">
        <f t="shared" si="1"/>
        <v>-0.002296719601</v>
      </c>
      <c r="E79" s="81"/>
      <c r="F79" s="247">
        <v>666.35</v>
      </c>
      <c r="G79" s="201">
        <f t="shared" si="2"/>
        <v>0.05778236368</v>
      </c>
      <c r="Y79" s="205">
        <v>230.7</v>
      </c>
      <c r="Z79" s="206">
        <v>0.0587</v>
      </c>
      <c r="AA79" s="207"/>
      <c r="AB79" s="208">
        <v>189.15</v>
      </c>
      <c r="AC79" s="209">
        <v>0.0421</v>
      </c>
      <c r="AD79" s="207"/>
      <c r="AE79" s="210">
        <v>50.25</v>
      </c>
      <c r="AF79" s="206">
        <v>0.005</v>
      </c>
      <c r="AG79" s="207"/>
      <c r="AH79" s="210">
        <v>949.1</v>
      </c>
      <c r="AI79" s="206">
        <v>-0.031</v>
      </c>
    </row>
    <row r="80" ht="15.75" customHeight="1">
      <c r="A80" s="198"/>
      <c r="B80" s="199">
        <v>45151.0</v>
      </c>
      <c r="C80" s="200">
        <v>19310.15</v>
      </c>
      <c r="D80" s="201">
        <f t="shared" si="1"/>
        <v>-0.00608133496</v>
      </c>
      <c r="E80" s="81"/>
      <c r="F80" s="247">
        <v>629.95</v>
      </c>
      <c r="G80" s="201">
        <f t="shared" si="2"/>
        <v>-0.01554930458</v>
      </c>
      <c r="Y80" s="205">
        <v>217.9</v>
      </c>
      <c r="Z80" s="206">
        <v>0.0128</v>
      </c>
      <c r="AA80" s="207"/>
      <c r="AB80" s="208">
        <v>181.5</v>
      </c>
      <c r="AC80" s="209">
        <v>0.0041</v>
      </c>
      <c r="AD80" s="207"/>
      <c r="AE80" s="210">
        <v>50.0</v>
      </c>
      <c r="AF80" s="206">
        <v>0.003</v>
      </c>
      <c r="AG80" s="207"/>
      <c r="AH80" s="210">
        <v>979.45</v>
      </c>
      <c r="AI80" s="206">
        <v>-0.0154</v>
      </c>
    </row>
    <row r="81" ht="15.75" customHeight="1">
      <c r="A81" s="198"/>
      <c r="B81" s="199">
        <v>45144.0</v>
      </c>
      <c r="C81" s="200">
        <v>19428.3</v>
      </c>
      <c r="D81" s="201">
        <f t="shared" si="1"/>
        <v>-0.004544755854</v>
      </c>
      <c r="E81" s="81"/>
      <c r="F81" s="247">
        <v>639.9</v>
      </c>
      <c r="G81" s="201">
        <f t="shared" si="2"/>
        <v>-0.03918918919</v>
      </c>
      <c r="Y81" s="205">
        <v>215.15</v>
      </c>
      <c r="Z81" s="206">
        <v>0.0101</v>
      </c>
      <c r="AA81" s="207"/>
      <c r="AB81" s="208">
        <v>180.75</v>
      </c>
      <c r="AC81" s="209">
        <v>-0.0135</v>
      </c>
      <c r="AD81" s="207"/>
      <c r="AE81" s="210">
        <v>49.85</v>
      </c>
      <c r="AF81" s="206">
        <v>-0.006</v>
      </c>
      <c r="AG81" s="207"/>
      <c r="AH81" s="210">
        <v>994.75</v>
      </c>
      <c r="AI81" s="206">
        <v>0.0241</v>
      </c>
    </row>
    <row r="82" ht="15.75" customHeight="1">
      <c r="A82" s="198"/>
      <c r="B82" s="199">
        <v>45137.0</v>
      </c>
      <c r="C82" s="200">
        <v>19517.0</v>
      </c>
      <c r="D82" s="201">
        <f t="shared" si="1"/>
        <v>-0.006568750461</v>
      </c>
      <c r="E82" s="81"/>
      <c r="F82" s="247">
        <v>666.0</v>
      </c>
      <c r="G82" s="201">
        <f t="shared" si="2"/>
        <v>-0.008633521882</v>
      </c>
      <c r="Y82" s="205">
        <v>213.0</v>
      </c>
      <c r="Z82" s="206">
        <v>-0.0227</v>
      </c>
      <c r="AA82" s="207"/>
      <c r="AB82" s="208">
        <v>183.23</v>
      </c>
      <c r="AC82" s="209">
        <v>-0.0123</v>
      </c>
      <c r="AD82" s="207"/>
      <c r="AE82" s="210">
        <v>50.15</v>
      </c>
      <c r="AF82" s="206">
        <v>0.0142</v>
      </c>
      <c r="AG82" s="207"/>
      <c r="AH82" s="210">
        <v>971.35</v>
      </c>
      <c r="AI82" s="206">
        <v>-0.0407</v>
      </c>
    </row>
    <row r="83" ht="15.75" customHeight="1">
      <c r="A83" s="198"/>
      <c r="B83" s="199">
        <v>45130.0</v>
      </c>
      <c r="C83" s="200">
        <v>19646.05</v>
      </c>
      <c r="D83" s="201">
        <f t="shared" si="1"/>
        <v>-0.00501139529</v>
      </c>
      <c r="E83" s="81"/>
      <c r="F83" s="247">
        <v>671.8</v>
      </c>
      <c r="G83" s="201">
        <f t="shared" si="2"/>
        <v>0.0955642531</v>
      </c>
      <c r="Y83" s="205">
        <v>217.95</v>
      </c>
      <c r="Z83" s="206">
        <v>0.0379</v>
      </c>
      <c r="AA83" s="207"/>
      <c r="AB83" s="208">
        <v>185.51</v>
      </c>
      <c r="AC83" s="209">
        <v>-0.042</v>
      </c>
      <c r="AD83" s="207"/>
      <c r="AE83" s="210">
        <v>49.45</v>
      </c>
      <c r="AF83" s="206">
        <v>-0.0159</v>
      </c>
      <c r="AG83" s="207"/>
      <c r="AH83" s="211">
        <v>1012.55</v>
      </c>
      <c r="AI83" s="206">
        <v>-0.0733</v>
      </c>
    </row>
    <row r="84" ht="15.75" customHeight="1">
      <c r="A84" s="198"/>
      <c r="B84" s="199">
        <v>45123.0</v>
      </c>
      <c r="C84" s="200">
        <v>19745.0</v>
      </c>
      <c r="D84" s="201">
        <f t="shared" si="1"/>
        <v>0.009225893838</v>
      </c>
      <c r="E84" s="81"/>
      <c r="F84" s="247">
        <v>613.2</v>
      </c>
      <c r="G84" s="201">
        <f t="shared" si="2"/>
        <v>0.004504873454</v>
      </c>
      <c r="Y84" s="205">
        <v>210.0</v>
      </c>
      <c r="Z84" s="206">
        <v>0.0764</v>
      </c>
      <c r="AA84" s="207"/>
      <c r="AB84" s="208">
        <v>193.65</v>
      </c>
      <c r="AC84" s="209">
        <v>0.0578</v>
      </c>
      <c r="AD84" s="207"/>
      <c r="AE84" s="210">
        <v>50.25</v>
      </c>
      <c r="AF84" s="206">
        <v>0.0691</v>
      </c>
      <c r="AG84" s="207"/>
      <c r="AH84" s="211">
        <v>1092.6</v>
      </c>
      <c r="AI84" s="206">
        <v>0.0975</v>
      </c>
    </row>
    <row r="85" ht="15.75" customHeight="1">
      <c r="A85" s="198"/>
      <c r="B85" s="199">
        <v>45116.0</v>
      </c>
      <c r="C85" s="200">
        <v>19564.5</v>
      </c>
      <c r="D85" s="201">
        <f t="shared" si="1"/>
        <v>0.01203716157</v>
      </c>
      <c r="E85" s="81"/>
      <c r="F85" s="247">
        <v>610.45</v>
      </c>
      <c r="G85" s="201">
        <f t="shared" si="2"/>
        <v>-0.03646121064</v>
      </c>
      <c r="Y85" s="205">
        <v>195.1</v>
      </c>
      <c r="Z85" s="206">
        <v>0.0408</v>
      </c>
      <c r="AA85" s="207"/>
      <c r="AB85" s="208">
        <v>183.07</v>
      </c>
      <c r="AC85" s="209">
        <v>0.0169</v>
      </c>
      <c r="AD85" s="207"/>
      <c r="AE85" s="210">
        <v>47.0</v>
      </c>
      <c r="AF85" s="206">
        <v>0.024</v>
      </c>
      <c r="AG85" s="207"/>
      <c r="AH85" s="210">
        <v>995.55</v>
      </c>
      <c r="AI85" s="206">
        <v>0.0314</v>
      </c>
    </row>
    <row r="86" ht="15.75" customHeight="1">
      <c r="A86" s="198"/>
      <c r="B86" s="199">
        <v>45109.0</v>
      </c>
      <c r="C86" s="200">
        <v>19331.8</v>
      </c>
      <c r="D86" s="201">
        <f t="shared" si="1"/>
        <v>0.007439138467</v>
      </c>
      <c r="E86" s="81"/>
      <c r="F86" s="247">
        <v>633.55</v>
      </c>
      <c r="G86" s="201">
        <f t="shared" si="2"/>
        <v>0.0297440065</v>
      </c>
      <c r="Y86" s="205">
        <v>187.45</v>
      </c>
      <c r="Z86" s="206">
        <v>-0.0267</v>
      </c>
      <c r="AA86" s="207"/>
      <c r="AB86" s="208">
        <v>180.04</v>
      </c>
      <c r="AC86" s="209">
        <v>-0.0603</v>
      </c>
      <c r="AD86" s="207"/>
      <c r="AE86" s="210">
        <v>45.9</v>
      </c>
      <c r="AF86" s="206">
        <v>-0.0043</v>
      </c>
      <c r="AG86" s="207"/>
      <c r="AH86" s="210">
        <v>965.2</v>
      </c>
      <c r="AI86" s="206">
        <v>0.0149</v>
      </c>
    </row>
    <row r="87" ht="15.75" customHeight="1">
      <c r="A87" s="198"/>
      <c r="B87" s="199">
        <v>45102.0</v>
      </c>
      <c r="C87" s="200">
        <v>19189.05</v>
      </c>
      <c r="D87" s="201">
        <f t="shared" si="1"/>
        <v>0.0280490745</v>
      </c>
      <c r="E87" s="81"/>
      <c r="F87" s="247">
        <v>615.25</v>
      </c>
      <c r="G87" s="201">
        <f t="shared" si="2"/>
        <v>-0.03979711276</v>
      </c>
      <c r="Y87" s="205">
        <v>192.6</v>
      </c>
      <c r="Z87" s="206">
        <v>0.0182</v>
      </c>
      <c r="AA87" s="207"/>
      <c r="AB87" s="208">
        <v>191.59</v>
      </c>
      <c r="AC87" s="209">
        <v>0.0012</v>
      </c>
      <c r="AD87" s="207"/>
      <c r="AE87" s="210">
        <v>46.1</v>
      </c>
      <c r="AF87" s="206">
        <v>0.0033</v>
      </c>
      <c r="AG87" s="207"/>
      <c r="AH87" s="210">
        <v>951.0</v>
      </c>
      <c r="AI87" s="206">
        <v>0.0054</v>
      </c>
    </row>
    <row r="88" ht="15.75" customHeight="1">
      <c r="A88" s="198"/>
      <c r="B88" s="199">
        <v>45095.0</v>
      </c>
      <c r="C88" s="200">
        <v>18665.5</v>
      </c>
      <c r="D88" s="201">
        <f t="shared" si="1"/>
        <v>-0.008525443536</v>
      </c>
      <c r="E88" s="81"/>
      <c r="F88" s="247">
        <v>640.75</v>
      </c>
      <c r="G88" s="201">
        <f t="shared" si="2"/>
        <v>-0.04508196721</v>
      </c>
      <c r="Y88" s="205">
        <v>189.15</v>
      </c>
      <c r="Z88" s="206">
        <v>0.0131</v>
      </c>
      <c r="AA88" s="207"/>
      <c r="AB88" s="208">
        <v>191.36</v>
      </c>
      <c r="AC88" s="209">
        <v>0.0202</v>
      </c>
      <c r="AD88" s="207"/>
      <c r="AE88" s="210">
        <v>45.95</v>
      </c>
      <c r="AF88" s="206">
        <v>0.0088</v>
      </c>
      <c r="AG88" s="207"/>
      <c r="AH88" s="210">
        <v>945.9</v>
      </c>
      <c r="AI88" s="206">
        <v>-0.0145</v>
      </c>
    </row>
    <row r="89" ht="15.75" customHeight="1">
      <c r="A89" s="198"/>
      <c r="B89" s="199">
        <v>45088.0</v>
      </c>
      <c r="C89" s="200">
        <v>18826.0</v>
      </c>
      <c r="D89" s="201">
        <f t="shared" si="1"/>
        <v>0.01414611547</v>
      </c>
      <c r="E89" s="81"/>
      <c r="F89" s="247">
        <v>671.0</v>
      </c>
      <c r="G89" s="201">
        <f t="shared" si="2"/>
        <v>-0.0138154027</v>
      </c>
      <c r="Y89" s="205">
        <v>186.7</v>
      </c>
      <c r="Z89" s="206">
        <v>-0.008</v>
      </c>
      <c r="AA89" s="207"/>
      <c r="AB89" s="208">
        <v>187.57</v>
      </c>
      <c r="AC89" s="209">
        <v>0.0148</v>
      </c>
      <c r="AD89" s="207"/>
      <c r="AE89" s="210">
        <v>45.55</v>
      </c>
      <c r="AF89" s="206">
        <v>0.0122</v>
      </c>
      <c r="AG89" s="207"/>
      <c r="AH89" s="210">
        <v>959.85</v>
      </c>
      <c r="AI89" s="206">
        <v>-0.0156</v>
      </c>
    </row>
    <row r="90" ht="15.75" customHeight="1">
      <c r="A90" s="198"/>
      <c r="B90" s="199">
        <v>45081.0</v>
      </c>
      <c r="C90" s="200">
        <v>18563.4</v>
      </c>
      <c r="D90" s="201">
        <f t="shared" si="1"/>
        <v>0.001580869856</v>
      </c>
      <c r="E90" s="81"/>
      <c r="F90" s="247">
        <v>680.4</v>
      </c>
      <c r="G90" s="201">
        <f t="shared" si="2"/>
        <v>0.2068109259</v>
      </c>
      <c r="Y90" s="205">
        <v>188.2</v>
      </c>
      <c r="Z90" s="206">
        <v>0.0295</v>
      </c>
      <c r="AA90" s="207"/>
      <c r="AB90" s="208">
        <v>184.84</v>
      </c>
      <c r="AC90" s="209">
        <v>0.0063</v>
      </c>
      <c r="AD90" s="207"/>
      <c r="AE90" s="210">
        <v>45.0</v>
      </c>
      <c r="AF90" s="206">
        <v>0.0112</v>
      </c>
      <c r="AG90" s="207"/>
      <c r="AH90" s="210">
        <v>975.05</v>
      </c>
      <c r="AI90" s="206">
        <v>0.0118</v>
      </c>
    </row>
    <row r="91" ht="15.75" customHeight="1">
      <c r="A91" s="198"/>
      <c r="B91" s="199">
        <v>45074.0</v>
      </c>
      <c r="C91" s="200">
        <v>18534.1</v>
      </c>
      <c r="D91" s="201">
        <f t="shared" si="1"/>
        <v>0.001878444378</v>
      </c>
      <c r="E91" s="81"/>
      <c r="F91" s="247">
        <v>563.8</v>
      </c>
      <c r="G91" s="201">
        <f t="shared" si="2"/>
        <v>0.02045248869</v>
      </c>
      <c r="Y91" s="205">
        <v>182.8</v>
      </c>
      <c r="Z91" s="206">
        <v>0.0473</v>
      </c>
      <c r="AA91" s="207"/>
      <c r="AB91" s="208">
        <v>183.68</v>
      </c>
      <c r="AC91" s="209">
        <v>0.0439</v>
      </c>
      <c r="AD91" s="207"/>
      <c r="AE91" s="210">
        <v>44.5</v>
      </c>
      <c r="AF91" s="206">
        <v>0.0301</v>
      </c>
      <c r="AG91" s="207"/>
      <c r="AH91" s="210">
        <v>963.65</v>
      </c>
      <c r="AI91" s="206">
        <v>-0.0202</v>
      </c>
    </row>
    <row r="92" ht="15.75" customHeight="1">
      <c r="A92" s="198"/>
      <c r="B92" s="199">
        <v>45067.0</v>
      </c>
      <c r="C92" s="200">
        <v>18499.35</v>
      </c>
      <c r="D92" s="201">
        <f t="shared" si="1"/>
        <v>0.01625795181</v>
      </c>
      <c r="E92" s="81"/>
      <c r="F92" s="247">
        <v>552.5</v>
      </c>
      <c r="G92" s="201">
        <f t="shared" si="2"/>
        <v>0.04808877928</v>
      </c>
      <c r="Y92" s="205">
        <v>174.55</v>
      </c>
      <c r="Z92" s="206">
        <v>3.0E-4</v>
      </c>
      <c r="AA92" s="207"/>
      <c r="AB92" s="208">
        <v>175.95</v>
      </c>
      <c r="AC92" s="209">
        <v>-0.0114</v>
      </c>
      <c r="AD92" s="207"/>
      <c r="AE92" s="210">
        <v>43.2</v>
      </c>
      <c r="AF92" s="206">
        <v>0.0058</v>
      </c>
      <c r="AG92" s="207"/>
      <c r="AH92" s="210">
        <v>983.55</v>
      </c>
      <c r="AI92" s="206">
        <v>0.021</v>
      </c>
    </row>
    <row r="93" ht="15.75" customHeight="1">
      <c r="A93" s="198"/>
      <c r="B93" s="199">
        <v>45060.0</v>
      </c>
      <c r="C93" s="200">
        <v>18203.4</v>
      </c>
      <c r="D93" s="201">
        <f t="shared" si="1"/>
        <v>-0.006082512504</v>
      </c>
      <c r="E93" s="81"/>
      <c r="F93" s="247">
        <v>527.15</v>
      </c>
      <c r="G93" s="201">
        <f t="shared" si="2"/>
        <v>-0.0149490797</v>
      </c>
      <c r="Y93" s="205">
        <v>174.5</v>
      </c>
      <c r="Z93" s="206">
        <v>0.0069</v>
      </c>
      <c r="AA93" s="207"/>
      <c r="AB93" s="208">
        <v>177.98</v>
      </c>
      <c r="AC93" s="209">
        <v>0.0154</v>
      </c>
      <c r="AD93" s="207"/>
      <c r="AE93" s="210">
        <v>42.95</v>
      </c>
      <c r="AF93" s="206">
        <v>-0.0261</v>
      </c>
      <c r="AG93" s="207"/>
      <c r="AH93" s="210">
        <v>963.35</v>
      </c>
      <c r="AI93" s="206">
        <v>0.074</v>
      </c>
    </row>
    <row r="94" ht="15.75" customHeight="1">
      <c r="A94" s="198"/>
      <c r="B94" s="199">
        <v>45053.0</v>
      </c>
      <c r="C94" s="200">
        <v>18314.8</v>
      </c>
      <c r="D94" s="201">
        <f t="shared" si="1"/>
        <v>0.01360340915</v>
      </c>
      <c r="E94" s="81"/>
      <c r="F94" s="247">
        <v>535.15</v>
      </c>
      <c r="G94" s="201">
        <f t="shared" si="2"/>
        <v>-0.009806642613</v>
      </c>
      <c r="Y94" s="205">
        <v>173.3</v>
      </c>
      <c r="Z94" s="206">
        <v>-0.0094</v>
      </c>
      <c r="AA94" s="207"/>
      <c r="AB94" s="208">
        <v>175.27</v>
      </c>
      <c r="AC94" s="209">
        <v>-0.0333</v>
      </c>
      <c r="AD94" s="207"/>
      <c r="AE94" s="210">
        <v>44.1</v>
      </c>
      <c r="AF94" s="206">
        <v>-0.0101</v>
      </c>
      <c r="AG94" s="207"/>
      <c r="AH94" s="210">
        <v>896.95</v>
      </c>
      <c r="AI94" s="206">
        <v>0.0015</v>
      </c>
    </row>
    <row r="95" ht="15.75" customHeight="1">
      <c r="A95" s="198"/>
      <c r="B95" s="199">
        <v>45046.0</v>
      </c>
      <c r="C95" s="200">
        <v>18069.0</v>
      </c>
      <c r="D95" s="201">
        <f t="shared" si="1"/>
        <v>0.0002214226405</v>
      </c>
      <c r="E95" s="81"/>
      <c r="F95" s="247">
        <v>540.45</v>
      </c>
      <c r="G95" s="201">
        <f t="shared" si="2"/>
        <v>-0.01985854189</v>
      </c>
      <c r="Y95" s="205">
        <v>174.95</v>
      </c>
      <c r="Z95" s="206">
        <v>0.004</v>
      </c>
      <c r="AA95" s="207"/>
      <c r="AB95" s="208">
        <v>181.31</v>
      </c>
      <c r="AC95" s="209">
        <v>0.0029</v>
      </c>
      <c r="AD95" s="207"/>
      <c r="AE95" s="210">
        <v>44.55</v>
      </c>
      <c r="AF95" s="206">
        <v>-0.0252</v>
      </c>
      <c r="AG95" s="207"/>
      <c r="AH95" s="210">
        <v>895.6</v>
      </c>
      <c r="AI95" s="206">
        <v>-0.0478</v>
      </c>
    </row>
    <row r="96" ht="15.75" customHeight="1">
      <c r="A96" s="198"/>
      <c r="B96" s="199">
        <v>45039.0</v>
      </c>
      <c r="C96" s="200">
        <v>18065.0</v>
      </c>
      <c r="D96" s="201">
        <f t="shared" si="1"/>
        <v>0.0250197883</v>
      </c>
      <c r="E96" s="81"/>
      <c r="F96" s="247">
        <v>551.4</v>
      </c>
      <c r="G96" s="201">
        <f t="shared" si="2"/>
        <v>0.01960059172</v>
      </c>
      <c r="Y96" s="205">
        <v>174.25</v>
      </c>
      <c r="Z96" s="206">
        <v>0.0131</v>
      </c>
      <c r="AA96" s="207"/>
      <c r="AB96" s="208">
        <v>180.79</v>
      </c>
      <c r="AC96" s="209">
        <v>0.016</v>
      </c>
      <c r="AD96" s="207"/>
      <c r="AE96" s="210">
        <v>45.7</v>
      </c>
      <c r="AF96" s="206">
        <v>0.0328</v>
      </c>
      <c r="AG96" s="207"/>
      <c r="AH96" s="210">
        <v>940.55</v>
      </c>
      <c r="AI96" s="206">
        <v>-0.011</v>
      </c>
    </row>
    <row r="97" ht="15.75" customHeight="1">
      <c r="A97" s="198"/>
      <c r="B97" s="199">
        <v>45032.0</v>
      </c>
      <c r="C97" s="200">
        <v>17624.05</v>
      </c>
      <c r="D97" s="201">
        <f t="shared" si="1"/>
        <v>-0.01143986987</v>
      </c>
      <c r="E97" s="81"/>
      <c r="F97" s="247">
        <v>540.8</v>
      </c>
      <c r="G97" s="201">
        <f t="shared" si="2"/>
        <v>0.003339517625</v>
      </c>
      <c r="Y97" s="205">
        <v>172.0</v>
      </c>
      <c r="Z97" s="206">
        <v>0.0136</v>
      </c>
      <c r="AA97" s="207"/>
      <c r="AB97" s="208">
        <v>177.94</v>
      </c>
      <c r="AC97" s="209">
        <v>0.0246</v>
      </c>
      <c r="AD97" s="207"/>
      <c r="AE97" s="210">
        <v>44.25</v>
      </c>
      <c r="AF97" s="206">
        <v>0.0327</v>
      </c>
      <c r="AG97" s="207"/>
      <c r="AH97" s="210">
        <v>951.0</v>
      </c>
      <c r="AI97" s="206">
        <v>0.038</v>
      </c>
    </row>
    <row r="98" ht="15.75" customHeight="1">
      <c r="A98" s="198"/>
      <c r="B98" s="199">
        <v>45025.0</v>
      </c>
      <c r="C98" s="200">
        <v>17828.0</v>
      </c>
      <c r="D98" s="201">
        <f t="shared" si="1"/>
        <v>0.01300346892</v>
      </c>
      <c r="E98" s="81"/>
      <c r="F98" s="247">
        <v>539.0</v>
      </c>
      <c r="G98" s="201">
        <f t="shared" si="2"/>
        <v>0.03385441642</v>
      </c>
      <c r="Y98" s="205">
        <v>169.7</v>
      </c>
      <c r="Z98" s="206">
        <v>-0.0194</v>
      </c>
      <c r="AA98" s="207"/>
      <c r="AB98" s="208">
        <v>173.66</v>
      </c>
      <c r="AC98" s="209">
        <v>0.0015</v>
      </c>
      <c r="AD98" s="207"/>
      <c r="AE98" s="210">
        <v>42.85</v>
      </c>
      <c r="AF98" s="206">
        <v>0.0</v>
      </c>
      <c r="AG98" s="207"/>
      <c r="AH98" s="210">
        <v>916.2</v>
      </c>
      <c r="AI98" s="206">
        <v>-0.0265</v>
      </c>
    </row>
    <row r="99" ht="15.75" customHeight="1">
      <c r="A99" s="198"/>
      <c r="B99" s="199">
        <v>45018.0</v>
      </c>
      <c r="C99" s="200">
        <v>17599.15</v>
      </c>
      <c r="D99" s="201">
        <f t="shared" si="1"/>
        <v>0.01379052118</v>
      </c>
      <c r="E99" s="81"/>
      <c r="F99" s="247">
        <v>521.35</v>
      </c>
      <c r="G99" s="201">
        <f t="shared" si="2"/>
        <v>0.02145376176</v>
      </c>
      <c r="Y99" s="205">
        <v>173.05</v>
      </c>
      <c r="Z99" s="206">
        <v>-0.0123</v>
      </c>
      <c r="AA99" s="207"/>
      <c r="AB99" s="208">
        <v>173.4</v>
      </c>
      <c r="AC99" s="209">
        <v>0.0264</v>
      </c>
      <c r="AD99" s="207"/>
      <c r="AE99" s="210">
        <v>42.85</v>
      </c>
      <c r="AF99" s="206">
        <v>0.0646</v>
      </c>
      <c r="AG99" s="207"/>
      <c r="AH99" s="210">
        <v>941.15</v>
      </c>
      <c r="AI99" s="206">
        <v>0.099</v>
      </c>
    </row>
    <row r="100" ht="15.75" customHeight="1">
      <c r="A100" s="198"/>
      <c r="B100" s="199">
        <v>45011.0</v>
      </c>
      <c r="C100" s="200">
        <v>17359.75</v>
      </c>
      <c r="D100" s="201">
        <f t="shared" si="1"/>
        <v>0.02447322374</v>
      </c>
      <c r="E100" s="81"/>
      <c r="F100" s="247">
        <v>510.4</v>
      </c>
      <c r="G100" s="201">
        <f t="shared" si="2"/>
        <v>0.01491350169</v>
      </c>
      <c r="Y100" s="205">
        <v>175.2</v>
      </c>
      <c r="Z100" s="206">
        <v>6.0E-4</v>
      </c>
      <c r="AA100" s="207"/>
      <c r="AB100" s="208">
        <v>168.94</v>
      </c>
      <c r="AC100" s="209">
        <v>-0.002</v>
      </c>
      <c r="AD100" s="207"/>
      <c r="AE100" s="210">
        <v>40.25</v>
      </c>
      <c r="AF100" s="206">
        <v>0.0012</v>
      </c>
      <c r="AG100" s="207"/>
      <c r="AH100" s="210">
        <v>856.35</v>
      </c>
      <c r="AI100" s="206">
        <v>-0.0281</v>
      </c>
    </row>
    <row r="101" ht="15.75" customHeight="1">
      <c r="A101" s="198"/>
      <c r="B101" s="199">
        <v>45004.0</v>
      </c>
      <c r="C101" s="200">
        <v>16945.05</v>
      </c>
      <c r="D101" s="201">
        <f t="shared" si="1"/>
        <v>-0.009064300982</v>
      </c>
      <c r="E101" s="81"/>
      <c r="F101" s="247">
        <v>502.9</v>
      </c>
      <c r="G101" s="201">
        <f t="shared" si="2"/>
        <v>-0.06061455123</v>
      </c>
      <c r="Y101" s="205">
        <v>175.1</v>
      </c>
      <c r="Z101" s="206">
        <v>0.0139</v>
      </c>
      <c r="AA101" s="207"/>
      <c r="AB101" s="208">
        <v>169.27</v>
      </c>
      <c r="AC101" s="209">
        <v>0.0148</v>
      </c>
      <c r="AD101" s="207"/>
      <c r="AE101" s="210">
        <v>40.2</v>
      </c>
      <c r="AF101" s="206">
        <v>0.0152</v>
      </c>
      <c r="AG101" s="207"/>
      <c r="AH101" s="210">
        <v>881.15</v>
      </c>
      <c r="AI101" s="206">
        <v>-0.144</v>
      </c>
    </row>
    <row r="102" ht="15.75" customHeight="1">
      <c r="A102" s="198"/>
      <c r="B102" s="199">
        <v>44997.0</v>
      </c>
      <c r="C102" s="200">
        <v>17100.05</v>
      </c>
      <c r="D102" s="201">
        <f t="shared" si="1"/>
        <v>-0.01796656502</v>
      </c>
      <c r="E102" s="81"/>
      <c r="F102" s="247">
        <v>535.35</v>
      </c>
      <c r="G102" s="201">
        <f t="shared" si="2"/>
        <v>-0.001026310879</v>
      </c>
      <c r="Y102" s="205">
        <v>172.7</v>
      </c>
      <c r="Z102" s="206">
        <v>-0.024</v>
      </c>
      <c r="AA102" s="207"/>
      <c r="AB102" s="208">
        <v>166.8</v>
      </c>
      <c r="AC102" s="209">
        <v>-0.0318</v>
      </c>
      <c r="AD102" s="207"/>
      <c r="AE102" s="210">
        <v>39.6</v>
      </c>
      <c r="AF102" s="206">
        <v>-0.0526</v>
      </c>
      <c r="AG102" s="207"/>
      <c r="AH102" s="211">
        <v>1029.35</v>
      </c>
      <c r="AI102" s="206">
        <v>0.2611</v>
      </c>
    </row>
    <row r="103" ht="15.75" customHeight="1">
      <c r="A103" s="198"/>
      <c r="B103" s="199">
        <v>44990.0</v>
      </c>
      <c r="C103" s="200">
        <v>17412.9</v>
      </c>
      <c r="D103" s="201">
        <f t="shared" si="1"/>
        <v>-0.01031296979</v>
      </c>
      <c r="E103" s="81"/>
      <c r="F103" s="247">
        <v>535.9</v>
      </c>
      <c r="G103" s="201">
        <f t="shared" si="2"/>
        <v>0.0492413118</v>
      </c>
      <c r="Y103" s="205">
        <v>176.95</v>
      </c>
      <c r="Z103" s="206">
        <v>-0.021</v>
      </c>
      <c r="AA103" s="207"/>
      <c r="AB103" s="208">
        <v>172.27</v>
      </c>
      <c r="AC103" s="209">
        <v>0.0139</v>
      </c>
      <c r="AD103" s="207"/>
      <c r="AE103" s="210">
        <v>41.8</v>
      </c>
      <c r="AF103" s="206">
        <v>0.0183</v>
      </c>
      <c r="AG103" s="207"/>
      <c r="AH103" s="210">
        <v>816.25</v>
      </c>
      <c r="AI103" s="206">
        <v>0.1956</v>
      </c>
    </row>
    <row r="104" ht="15.75" customHeight="1">
      <c r="B104" s="199">
        <v>44983.0</v>
      </c>
      <c r="C104" s="200">
        <v>17594.35</v>
      </c>
      <c r="D104" s="201">
        <f t="shared" si="1"/>
        <v>0.00736009802</v>
      </c>
      <c r="E104" s="81"/>
      <c r="F104" s="247">
        <v>510.75</v>
      </c>
      <c r="G104" s="201">
        <f t="shared" si="2"/>
        <v>0.02828669217</v>
      </c>
      <c r="Y104" s="205">
        <v>180.75</v>
      </c>
      <c r="Z104" s="206">
        <v>0.0472</v>
      </c>
      <c r="AA104" s="207"/>
      <c r="AB104" s="208">
        <v>169.91</v>
      </c>
      <c r="AC104" s="209">
        <v>0.02</v>
      </c>
      <c r="AD104" s="207"/>
      <c r="AE104" s="210">
        <v>41.05</v>
      </c>
      <c r="AF104" s="206">
        <v>0.0314</v>
      </c>
      <c r="AG104" s="207"/>
      <c r="AH104" s="210">
        <v>682.7</v>
      </c>
      <c r="AI104" s="206">
        <v>0.2153</v>
      </c>
    </row>
    <row r="105" ht="15.75" customHeight="1">
      <c r="B105" s="199">
        <v>44976.0</v>
      </c>
      <c r="C105" s="200">
        <v>17465.8</v>
      </c>
      <c r="D105" s="201">
        <f t="shared" si="1"/>
        <v>-0.0266604251</v>
      </c>
      <c r="E105" s="81"/>
      <c r="F105" s="247">
        <v>496.7</v>
      </c>
      <c r="G105" s="201">
        <f t="shared" si="2"/>
        <v>0.005404530089</v>
      </c>
      <c r="Y105" s="205">
        <v>172.6</v>
      </c>
      <c r="Z105" s="206">
        <v>0.0094</v>
      </c>
      <c r="AA105" s="207"/>
      <c r="AB105" s="208">
        <v>166.57</v>
      </c>
      <c r="AC105" s="209">
        <v>0.0328</v>
      </c>
      <c r="AD105" s="207"/>
      <c r="AE105" s="210">
        <v>39.8</v>
      </c>
      <c r="AF105" s="206">
        <v>0.0311</v>
      </c>
      <c r="AG105" s="207"/>
      <c r="AH105" s="210">
        <v>561.75</v>
      </c>
      <c r="AI105" s="206">
        <v>0.1547</v>
      </c>
    </row>
    <row r="106" ht="15.75" customHeight="1">
      <c r="B106" s="199">
        <v>44969.0</v>
      </c>
      <c r="C106" s="200">
        <v>17944.2</v>
      </c>
      <c r="D106" s="201">
        <f t="shared" si="1"/>
        <v>0.00491137681</v>
      </c>
      <c r="E106" s="81"/>
      <c r="F106" s="247">
        <v>494.03</v>
      </c>
      <c r="G106" s="201">
        <f t="shared" si="2"/>
        <v>0.1180437685</v>
      </c>
      <c r="Y106" s="205">
        <v>171.0</v>
      </c>
      <c r="Z106" s="206">
        <v>0.0176</v>
      </c>
      <c r="AA106" s="207"/>
      <c r="AB106" s="208">
        <v>161.29</v>
      </c>
      <c r="AC106" s="209">
        <v>0.0058</v>
      </c>
      <c r="AD106" s="207"/>
      <c r="AE106" s="210">
        <v>38.6</v>
      </c>
      <c r="AF106" s="206">
        <v>-0.035</v>
      </c>
      <c r="AG106" s="207"/>
      <c r="AH106" s="210">
        <v>486.5</v>
      </c>
      <c r="AI106" s="206">
        <v>-0.2261</v>
      </c>
    </row>
    <row r="107" ht="15.75" customHeight="1">
      <c r="B107" s="199">
        <v>44962.0</v>
      </c>
      <c r="C107" s="200">
        <v>17856.5</v>
      </c>
      <c r="D107" s="201">
        <f t="shared" si="1"/>
        <v>0.0001372237672</v>
      </c>
      <c r="E107" s="81"/>
      <c r="F107" s="247">
        <v>441.87</v>
      </c>
      <c r="G107" s="201">
        <f t="shared" si="2"/>
        <v>0.02253951357</v>
      </c>
      <c r="Y107" s="205">
        <v>168.05</v>
      </c>
      <c r="Z107" s="206">
        <v>0.0185</v>
      </c>
      <c r="AA107" s="207"/>
      <c r="AB107" s="208">
        <v>160.35</v>
      </c>
      <c r="AC107" s="209">
        <v>-0.0014</v>
      </c>
      <c r="AD107" s="207"/>
      <c r="AE107" s="210">
        <v>40.0</v>
      </c>
      <c r="AF107" s="206">
        <v>0.0</v>
      </c>
      <c r="AG107" s="207"/>
      <c r="AH107" s="210">
        <v>628.65</v>
      </c>
      <c r="AI107" s="206">
        <v>-0.132</v>
      </c>
    </row>
    <row r="108" ht="15.75" customHeight="1">
      <c r="B108" s="199">
        <v>44955.0</v>
      </c>
      <c r="C108" s="200">
        <v>17854.05</v>
      </c>
      <c r="D108" s="201">
        <f t="shared" si="1"/>
        <v>0.0141839943</v>
      </c>
      <c r="E108" s="81"/>
      <c r="F108" s="247">
        <v>432.13</v>
      </c>
      <c r="G108" s="201">
        <f t="shared" si="2"/>
        <v>0.007624865924</v>
      </c>
      <c r="Y108" s="205">
        <v>165.0</v>
      </c>
      <c r="Z108" s="206">
        <v>-0.0033</v>
      </c>
      <c r="AA108" s="207"/>
      <c r="AB108" s="208">
        <v>160.57</v>
      </c>
      <c r="AC108" s="209">
        <v>-0.0035</v>
      </c>
      <c r="AD108" s="207"/>
      <c r="AE108" s="210">
        <v>40.0</v>
      </c>
      <c r="AF108" s="206">
        <v>-0.0244</v>
      </c>
      <c r="AG108" s="207"/>
      <c r="AH108" s="210">
        <v>724.25</v>
      </c>
      <c r="AI108" s="206">
        <v>-0.2261</v>
      </c>
    </row>
    <row r="109" ht="15.75" customHeight="1">
      <c r="B109" s="199">
        <v>44948.0</v>
      </c>
      <c r="C109" s="200">
        <v>17604.35</v>
      </c>
      <c r="D109" s="201">
        <f t="shared" si="1"/>
        <v>-0.02348059786</v>
      </c>
      <c r="E109" s="81"/>
      <c r="F109" s="247">
        <v>428.86</v>
      </c>
      <c r="G109" s="201">
        <f t="shared" si="2"/>
        <v>-0.04368379975</v>
      </c>
      <c r="Y109" s="205">
        <v>165.55</v>
      </c>
      <c r="Z109" s="206">
        <v>-0.0045</v>
      </c>
      <c r="AA109" s="207"/>
      <c r="AB109" s="208">
        <v>161.14</v>
      </c>
      <c r="AC109" s="209">
        <v>-0.0201</v>
      </c>
      <c r="AD109" s="207"/>
      <c r="AE109" s="210">
        <v>41.0</v>
      </c>
      <c r="AF109" s="206">
        <v>-0.0509</v>
      </c>
      <c r="AG109" s="207"/>
      <c r="AH109" s="210">
        <v>935.9</v>
      </c>
      <c r="AI109" s="206">
        <v>-0.3703</v>
      </c>
    </row>
    <row r="110" ht="15.75" customHeight="1">
      <c r="B110" s="199">
        <v>44941.0</v>
      </c>
      <c r="C110" s="200">
        <v>18027.65</v>
      </c>
      <c r="D110" s="201">
        <f t="shared" si="1"/>
        <v>0.003956762416</v>
      </c>
      <c r="E110" s="81"/>
      <c r="F110" s="247">
        <v>448.45</v>
      </c>
      <c r="G110" s="201">
        <f t="shared" si="2"/>
        <v>-0.04367389589</v>
      </c>
      <c r="Y110" s="205">
        <v>166.3</v>
      </c>
      <c r="Z110" s="206">
        <v>-0.0142</v>
      </c>
      <c r="AA110" s="207"/>
      <c r="AB110" s="208">
        <v>164.44</v>
      </c>
      <c r="AC110" s="209">
        <v>-0.0179</v>
      </c>
      <c r="AD110" s="207"/>
      <c r="AE110" s="210">
        <v>43.2</v>
      </c>
      <c r="AF110" s="206">
        <v>0.0141</v>
      </c>
      <c r="AG110" s="207"/>
      <c r="AH110" s="211">
        <v>1486.25</v>
      </c>
      <c r="AI110" s="206">
        <v>-0.2477</v>
      </c>
    </row>
    <row r="111" ht="15.75" customHeight="1">
      <c r="B111" s="199">
        <v>44934.0</v>
      </c>
      <c r="C111" s="200">
        <v>17956.6</v>
      </c>
      <c r="D111" s="201">
        <f t="shared" si="1"/>
        <v>0.005439697191</v>
      </c>
      <c r="E111" s="81"/>
      <c r="F111" s="247">
        <v>468.93</v>
      </c>
      <c r="G111" s="201">
        <f t="shared" si="2"/>
        <v>0.0001066370926</v>
      </c>
      <c r="Y111" s="205">
        <v>168.7</v>
      </c>
      <c r="Z111" s="206">
        <v>0.0054</v>
      </c>
      <c r="AA111" s="207"/>
      <c r="AB111" s="208">
        <v>167.44</v>
      </c>
      <c r="AC111" s="209">
        <v>0.0432</v>
      </c>
      <c r="AD111" s="207"/>
      <c r="AE111" s="210">
        <v>42.6</v>
      </c>
      <c r="AF111" s="206">
        <v>0.0965</v>
      </c>
      <c r="AG111" s="207"/>
      <c r="AH111" s="211">
        <v>1975.6</v>
      </c>
      <c r="AI111" s="206">
        <v>0.0313</v>
      </c>
    </row>
    <row r="112" ht="15.75" customHeight="1">
      <c r="B112" s="199">
        <v>44927.0</v>
      </c>
      <c r="C112" s="200">
        <v>17859.45</v>
      </c>
      <c r="D112" s="201">
        <f t="shared" si="1"/>
        <v>-0.01357889679</v>
      </c>
      <c r="E112" s="81"/>
      <c r="F112" s="247">
        <v>468.88</v>
      </c>
      <c r="G112" s="201">
        <f t="shared" si="2"/>
        <v>-0.02314631555</v>
      </c>
      <c r="Y112" s="205">
        <v>167.8</v>
      </c>
      <c r="Z112" s="206">
        <v>-0.0071</v>
      </c>
      <c r="AA112" s="207"/>
      <c r="AB112" s="208">
        <v>160.5</v>
      </c>
      <c r="AC112" s="209">
        <v>0.0284</v>
      </c>
      <c r="AD112" s="207"/>
      <c r="AE112" s="210">
        <v>38.85</v>
      </c>
      <c r="AF112" s="206">
        <v>-0.0177</v>
      </c>
      <c r="AG112" s="207"/>
      <c r="AH112" s="211">
        <v>1915.65</v>
      </c>
      <c r="AI112" s="206">
        <v>0.0421</v>
      </c>
    </row>
    <row r="113" ht="15.75" customHeight="1">
      <c r="B113" s="199">
        <v>44920.0</v>
      </c>
      <c r="C113" s="200">
        <v>18105.3</v>
      </c>
      <c r="D113" s="201">
        <f t="shared" si="1"/>
        <v>0.01676325898</v>
      </c>
      <c r="E113" s="81"/>
      <c r="F113" s="247">
        <v>479.99</v>
      </c>
      <c r="G113" s="201">
        <f t="shared" si="2"/>
        <v>0.0313050578</v>
      </c>
      <c r="Y113" s="205">
        <v>169.0</v>
      </c>
      <c r="Z113" s="206">
        <v>0.0153</v>
      </c>
      <c r="AA113" s="207"/>
      <c r="AB113" s="208">
        <v>156.07</v>
      </c>
      <c r="AC113" s="209">
        <v>-0.0262</v>
      </c>
      <c r="AD113" s="207"/>
      <c r="AE113" s="210">
        <v>39.55</v>
      </c>
      <c r="AF113" s="206">
        <v>-0.005</v>
      </c>
      <c r="AG113" s="207"/>
      <c r="AH113" s="211">
        <v>1838.25</v>
      </c>
      <c r="AI113" s="206">
        <v>-0.0484</v>
      </c>
    </row>
    <row r="114" ht="15.75" customHeight="1">
      <c r="B114" s="199">
        <v>44913.0</v>
      </c>
      <c r="C114" s="200">
        <v>17806.8</v>
      </c>
      <c r="D114" s="201">
        <f t="shared" si="1"/>
        <v>-0.025299688</v>
      </c>
      <c r="E114" s="81"/>
      <c r="F114" s="247">
        <v>465.42</v>
      </c>
      <c r="G114" s="201">
        <f t="shared" si="2"/>
        <v>-0.07047991852</v>
      </c>
      <c r="Y114" s="205">
        <v>166.45</v>
      </c>
      <c r="Z114" s="206">
        <v>0.0212</v>
      </c>
      <c r="AA114" s="207"/>
      <c r="AB114" s="208">
        <v>160.27</v>
      </c>
      <c r="AC114" s="209">
        <v>0.0116</v>
      </c>
      <c r="AD114" s="207"/>
      <c r="AE114" s="210">
        <v>39.75</v>
      </c>
      <c r="AF114" s="206">
        <v>0.0271</v>
      </c>
      <c r="AG114" s="207"/>
      <c r="AH114" s="211">
        <v>1931.8</v>
      </c>
      <c r="AI114" s="206">
        <v>0.0679</v>
      </c>
    </row>
    <row r="115" ht="15.75" customHeight="1">
      <c r="B115" s="199">
        <v>44906.0</v>
      </c>
      <c r="C115" s="200">
        <v>18269.0</v>
      </c>
      <c r="D115" s="201">
        <f t="shared" si="1"/>
        <v>-0.01230496416</v>
      </c>
      <c r="E115" s="81"/>
      <c r="F115" s="247">
        <v>500.71</v>
      </c>
      <c r="G115" s="201">
        <f t="shared" si="2"/>
        <v>-0.02846443401</v>
      </c>
      <c r="Y115" s="205">
        <v>163.0</v>
      </c>
      <c r="Z115" s="206">
        <v>-0.04</v>
      </c>
      <c r="AA115" s="207"/>
      <c r="AB115" s="208">
        <v>158.44</v>
      </c>
      <c r="AC115" s="209">
        <v>-0.0091</v>
      </c>
      <c r="AD115" s="207"/>
      <c r="AE115" s="210">
        <v>38.7</v>
      </c>
      <c r="AF115" s="206">
        <v>-0.0561</v>
      </c>
      <c r="AG115" s="207"/>
      <c r="AH115" s="211">
        <v>1809.05</v>
      </c>
      <c r="AI115" s="206">
        <v>-0.1151</v>
      </c>
    </row>
    <row r="116" ht="15.75" customHeight="1">
      <c r="B116" s="199">
        <v>44899.0</v>
      </c>
      <c r="C116" s="200">
        <v>18496.6</v>
      </c>
      <c r="D116" s="201">
        <f t="shared" si="1"/>
        <v>-0.01067067463</v>
      </c>
      <c r="E116" s="81"/>
      <c r="F116" s="247">
        <v>515.38</v>
      </c>
      <c r="G116" s="201">
        <f t="shared" si="2"/>
        <v>-0.03829072588</v>
      </c>
      <c r="Y116" s="205">
        <v>169.8</v>
      </c>
      <c r="Z116" s="206">
        <v>0.0018</v>
      </c>
      <c r="AA116" s="207"/>
      <c r="AB116" s="208">
        <v>159.9</v>
      </c>
      <c r="AC116" s="209">
        <v>-0.0184</v>
      </c>
      <c r="AD116" s="207"/>
      <c r="AE116" s="210">
        <v>41.0</v>
      </c>
      <c r="AF116" s="206">
        <v>-0.0097</v>
      </c>
      <c r="AG116" s="207"/>
      <c r="AH116" s="211">
        <v>2044.25</v>
      </c>
      <c r="AI116" s="206">
        <v>-0.0045</v>
      </c>
    </row>
    <row r="117" ht="15.75" customHeight="1">
      <c r="B117" s="199">
        <v>44892.0</v>
      </c>
      <c r="C117" s="200">
        <v>18696.1</v>
      </c>
      <c r="D117" s="201">
        <f t="shared" si="1"/>
        <v>0.009903985091</v>
      </c>
      <c r="E117" s="81"/>
      <c r="F117" s="247">
        <v>535.9</v>
      </c>
      <c r="G117" s="201">
        <f t="shared" si="2"/>
        <v>0.005856075679</v>
      </c>
      <c r="Y117" s="205">
        <v>169.5</v>
      </c>
      <c r="Z117" s="206">
        <v>-0.0154</v>
      </c>
      <c r="AA117" s="207"/>
      <c r="AB117" s="208">
        <v>162.9</v>
      </c>
      <c r="AC117" s="209">
        <v>-0.0118</v>
      </c>
      <c r="AD117" s="207"/>
      <c r="AE117" s="210">
        <v>41.4</v>
      </c>
      <c r="AF117" s="206">
        <v>-0.0131</v>
      </c>
      <c r="AG117" s="207"/>
      <c r="AH117" s="211">
        <v>2053.45</v>
      </c>
      <c r="AI117" s="206">
        <v>-0.0043</v>
      </c>
    </row>
    <row r="118" ht="15.75" customHeight="1">
      <c r="B118" s="199">
        <v>44885.0</v>
      </c>
      <c r="C118" s="200">
        <v>18512.75</v>
      </c>
      <c r="D118" s="201">
        <f t="shared" si="1"/>
        <v>0.01120296707</v>
      </c>
      <c r="E118" s="81"/>
      <c r="F118" s="247">
        <v>532.78</v>
      </c>
      <c r="G118" s="201">
        <f t="shared" si="2"/>
        <v>0.06716074111</v>
      </c>
      <c r="Y118" s="205">
        <v>172.15</v>
      </c>
      <c r="Z118" s="206">
        <v>0.0141</v>
      </c>
      <c r="AA118" s="207"/>
      <c r="AB118" s="208">
        <v>164.85</v>
      </c>
      <c r="AC118" s="209">
        <v>-0.0036</v>
      </c>
      <c r="AD118" s="207"/>
      <c r="AE118" s="210">
        <v>41.95</v>
      </c>
      <c r="AF118" s="206">
        <v>-0.0433</v>
      </c>
      <c r="AG118" s="207"/>
      <c r="AH118" s="211">
        <v>2062.3</v>
      </c>
      <c r="AI118" s="206">
        <v>0.0189</v>
      </c>
    </row>
    <row r="119" ht="15.75" customHeight="1">
      <c r="B119" s="199">
        <v>44878.0</v>
      </c>
      <c r="C119" s="200">
        <v>18307.65</v>
      </c>
      <c r="D119" s="201">
        <f t="shared" si="1"/>
        <v>-0.002291590598</v>
      </c>
      <c r="E119" s="81"/>
      <c r="F119" s="247">
        <v>499.25</v>
      </c>
      <c r="G119" s="201">
        <f t="shared" si="2"/>
        <v>0.006085887592</v>
      </c>
      <c r="Y119" s="205">
        <v>169.75</v>
      </c>
      <c r="Z119" s="206">
        <v>0.0235</v>
      </c>
      <c r="AA119" s="207"/>
      <c r="AB119" s="208">
        <v>165.45</v>
      </c>
      <c r="AC119" s="209">
        <v>0.0103</v>
      </c>
      <c r="AD119" s="207"/>
      <c r="AE119" s="210">
        <v>43.85</v>
      </c>
      <c r="AF119" s="206">
        <v>0.0428</v>
      </c>
      <c r="AG119" s="207"/>
      <c r="AH119" s="211">
        <v>2023.95</v>
      </c>
      <c r="AI119" s="206">
        <v>-0.0295</v>
      </c>
    </row>
    <row r="120" ht="15.75" customHeight="1">
      <c r="B120" s="199">
        <v>44871.0</v>
      </c>
      <c r="C120" s="200">
        <v>18349.7</v>
      </c>
      <c r="D120" s="201">
        <f t="shared" si="1"/>
        <v>0.0128359041</v>
      </c>
      <c r="E120" s="81"/>
      <c r="F120" s="247">
        <v>496.23</v>
      </c>
      <c r="G120" s="201">
        <f t="shared" si="2"/>
        <v>-0.003414134517</v>
      </c>
      <c r="Y120" s="205">
        <v>165.85</v>
      </c>
      <c r="Z120" s="206">
        <v>-0.0327</v>
      </c>
      <c r="AA120" s="207"/>
      <c r="AB120" s="208">
        <v>163.76</v>
      </c>
      <c r="AC120" s="209">
        <v>0.0201</v>
      </c>
      <c r="AD120" s="207"/>
      <c r="AE120" s="210">
        <v>42.05</v>
      </c>
      <c r="AF120" s="206">
        <v>-0.0624</v>
      </c>
      <c r="AG120" s="207"/>
      <c r="AH120" s="211">
        <v>2085.4</v>
      </c>
      <c r="AI120" s="206">
        <v>-0.0507</v>
      </c>
    </row>
    <row r="121" ht="15.75" customHeight="1">
      <c r="B121" s="199">
        <v>44864.0</v>
      </c>
      <c r="C121" s="200">
        <v>18117.15</v>
      </c>
      <c r="D121" s="201">
        <f t="shared" si="1"/>
        <v>0.01857276182</v>
      </c>
      <c r="E121" s="81"/>
      <c r="F121" s="247">
        <v>497.93</v>
      </c>
      <c r="G121" s="201">
        <f t="shared" si="2"/>
        <v>0.02210772641</v>
      </c>
      <c r="Y121" s="205">
        <v>171.45</v>
      </c>
      <c r="Z121" s="206">
        <v>-0.0311</v>
      </c>
      <c r="AA121" s="207"/>
      <c r="AB121" s="208">
        <v>160.54</v>
      </c>
      <c r="AC121" s="209">
        <v>-0.0535</v>
      </c>
      <c r="AD121" s="207"/>
      <c r="AE121" s="210">
        <v>44.85</v>
      </c>
      <c r="AF121" s="206">
        <v>0.024</v>
      </c>
      <c r="AG121" s="207"/>
      <c r="AH121" s="211">
        <v>2196.7</v>
      </c>
      <c r="AI121" s="206">
        <v>0.0356</v>
      </c>
    </row>
    <row r="122" ht="15.75" customHeight="1">
      <c r="B122" s="199">
        <v>44857.0</v>
      </c>
      <c r="C122" s="200">
        <v>17786.8</v>
      </c>
      <c r="D122" s="201">
        <f t="shared" si="1"/>
        <v>0.01197635452</v>
      </c>
      <c r="E122" s="81"/>
      <c r="F122" s="247">
        <v>487.16</v>
      </c>
      <c r="G122" s="201">
        <f t="shared" si="2"/>
        <v>0.03159410469</v>
      </c>
      <c r="Y122" s="205">
        <v>176.95</v>
      </c>
      <c r="Z122" s="206">
        <v>0.0167</v>
      </c>
      <c r="AA122" s="207"/>
      <c r="AB122" s="208">
        <v>169.61</v>
      </c>
      <c r="AC122" s="209">
        <v>-0.0029</v>
      </c>
      <c r="AD122" s="207"/>
      <c r="AE122" s="210">
        <v>43.8</v>
      </c>
      <c r="AF122" s="206">
        <v>0.0023</v>
      </c>
      <c r="AG122" s="207"/>
      <c r="AH122" s="211">
        <v>2121.25</v>
      </c>
      <c r="AI122" s="206">
        <v>0.0108</v>
      </c>
    </row>
    <row r="123" ht="15.75" customHeight="1">
      <c r="B123" s="199">
        <v>44850.0</v>
      </c>
      <c r="C123" s="200">
        <v>17576.3</v>
      </c>
      <c r="D123" s="201">
        <f t="shared" si="1"/>
        <v>0.02272819844</v>
      </c>
      <c r="E123" s="81"/>
      <c r="F123" s="247">
        <v>472.24</v>
      </c>
      <c r="G123" s="201">
        <f t="shared" si="2"/>
        <v>0.01339055794</v>
      </c>
      <c r="Y123" s="205">
        <v>174.05</v>
      </c>
      <c r="Z123" s="206">
        <v>0.0545</v>
      </c>
      <c r="AA123" s="207"/>
      <c r="AB123" s="208">
        <v>170.1</v>
      </c>
      <c r="AC123" s="209">
        <v>0.0437</v>
      </c>
      <c r="AD123" s="207"/>
      <c r="AE123" s="210">
        <v>43.7</v>
      </c>
      <c r="AF123" s="206">
        <v>0.053</v>
      </c>
      <c r="AG123" s="207"/>
      <c r="AH123" s="211">
        <v>2098.55</v>
      </c>
      <c r="AI123" s="206">
        <v>-0.0032</v>
      </c>
    </row>
    <row r="124" ht="15.75" customHeight="1">
      <c r="B124" s="199">
        <v>44843.0</v>
      </c>
      <c r="C124" s="200">
        <v>17185.7</v>
      </c>
      <c r="D124" s="201">
        <f t="shared" si="1"/>
        <v>-0.007447450569</v>
      </c>
      <c r="E124" s="81"/>
      <c r="F124" s="247">
        <v>466.0</v>
      </c>
      <c r="G124" s="201">
        <f t="shared" si="2"/>
        <v>-0.02618435626</v>
      </c>
      <c r="Y124" s="205">
        <v>165.05</v>
      </c>
      <c r="Z124" s="206">
        <v>-3.0E-4</v>
      </c>
      <c r="AA124" s="207"/>
      <c r="AB124" s="208">
        <v>162.98</v>
      </c>
      <c r="AC124" s="209">
        <v>0.0219</v>
      </c>
      <c r="AD124" s="207"/>
      <c r="AE124" s="210">
        <v>41.5</v>
      </c>
      <c r="AF124" s="206">
        <v>0.095</v>
      </c>
      <c r="AG124" s="207"/>
      <c r="AH124" s="211">
        <v>2105.3</v>
      </c>
      <c r="AI124" s="206">
        <v>0.0355</v>
      </c>
    </row>
    <row r="125" ht="15.75" customHeight="1">
      <c r="B125" s="199">
        <v>44836.0</v>
      </c>
      <c r="C125" s="200">
        <v>17314.65</v>
      </c>
      <c r="D125" s="201">
        <f t="shared" si="1"/>
        <v>0.01288729902</v>
      </c>
      <c r="E125" s="81"/>
      <c r="F125" s="247">
        <v>478.53</v>
      </c>
      <c r="G125" s="201">
        <f t="shared" si="2"/>
        <v>0.008110727227</v>
      </c>
      <c r="Y125" s="205">
        <v>165.1</v>
      </c>
      <c r="Z125" s="206">
        <v>0.0049</v>
      </c>
      <c r="AA125" s="207"/>
      <c r="AB125" s="208">
        <v>159.49</v>
      </c>
      <c r="AC125" s="209">
        <v>0.0155</v>
      </c>
      <c r="AD125" s="207"/>
      <c r="AE125" s="210">
        <v>37.9</v>
      </c>
      <c r="AF125" s="206">
        <v>0.0</v>
      </c>
      <c r="AG125" s="207"/>
      <c r="AH125" s="211">
        <v>2033.15</v>
      </c>
      <c r="AI125" s="206">
        <v>-0.0776</v>
      </c>
    </row>
    <row r="126" ht="15.75" customHeight="1">
      <c r="B126" s="199">
        <v>44829.0</v>
      </c>
      <c r="C126" s="200">
        <v>17094.35</v>
      </c>
      <c r="D126" s="201">
        <f t="shared" si="1"/>
        <v>-0.01344694948</v>
      </c>
      <c r="E126" s="81"/>
      <c r="F126" s="247">
        <v>474.68</v>
      </c>
      <c r="G126" s="201">
        <f t="shared" si="2"/>
        <v>-0.06678462597</v>
      </c>
      <c r="Y126" s="205">
        <v>164.3</v>
      </c>
      <c r="Z126" s="206">
        <v>0.0291</v>
      </c>
      <c r="AA126" s="207"/>
      <c r="AB126" s="208">
        <v>157.05</v>
      </c>
      <c r="AC126" s="209">
        <v>-0.0132</v>
      </c>
      <c r="AD126" s="207"/>
      <c r="AE126" s="210">
        <v>37.9</v>
      </c>
      <c r="AF126" s="206">
        <v>0.0616</v>
      </c>
      <c r="AG126" s="207"/>
      <c r="AH126" s="211">
        <v>2204.15</v>
      </c>
      <c r="AI126" s="206">
        <v>-0.0251</v>
      </c>
    </row>
    <row r="127" ht="15.75" customHeight="1">
      <c r="B127" s="199">
        <v>44822.0</v>
      </c>
      <c r="C127" s="200">
        <v>17327.35</v>
      </c>
      <c r="D127" s="201">
        <f t="shared" si="1"/>
        <v>-0.01160810799</v>
      </c>
      <c r="E127" s="81"/>
      <c r="F127" s="247">
        <v>508.65</v>
      </c>
      <c r="G127" s="201">
        <f t="shared" si="2"/>
        <v>-0.03487467507</v>
      </c>
      <c r="Y127" s="205">
        <v>159.65</v>
      </c>
      <c r="Z127" s="206">
        <v>-0.0262</v>
      </c>
      <c r="AA127" s="207"/>
      <c r="AB127" s="208">
        <v>159.15</v>
      </c>
      <c r="AC127" s="209">
        <v>0.0476</v>
      </c>
      <c r="AD127" s="207"/>
      <c r="AE127" s="210">
        <v>35.7</v>
      </c>
      <c r="AF127" s="206">
        <v>-0.0727</v>
      </c>
      <c r="AG127" s="207"/>
      <c r="AH127" s="211">
        <v>2260.8</v>
      </c>
      <c r="AI127" s="206">
        <v>-0.0271</v>
      </c>
    </row>
    <row r="128" ht="15.75" customHeight="1">
      <c r="B128" s="199">
        <v>44815.0</v>
      </c>
      <c r="C128" s="200">
        <v>17530.85</v>
      </c>
      <c r="D128" s="201">
        <f t="shared" si="1"/>
        <v>-0.01696260097</v>
      </c>
      <c r="E128" s="81"/>
      <c r="F128" s="247">
        <v>527.03</v>
      </c>
      <c r="G128" s="201">
        <f t="shared" si="2"/>
        <v>-0.04436990027</v>
      </c>
      <c r="Y128" s="205">
        <v>163.95</v>
      </c>
      <c r="Z128" s="206">
        <v>-0.0512</v>
      </c>
      <c r="AA128" s="207"/>
      <c r="AB128" s="208">
        <v>151.91</v>
      </c>
      <c r="AC128" s="209">
        <v>-0.1405</v>
      </c>
      <c r="AD128" s="207"/>
      <c r="AE128" s="210">
        <v>38.5</v>
      </c>
      <c r="AF128" s="206">
        <v>-0.0039</v>
      </c>
      <c r="AG128" s="207"/>
      <c r="AH128" s="211">
        <v>2323.85</v>
      </c>
      <c r="AI128" s="206">
        <v>0.0031</v>
      </c>
    </row>
    <row r="129" ht="15.75" customHeight="1">
      <c r="B129" s="199">
        <v>44808.0</v>
      </c>
      <c r="C129" s="200">
        <v>17833.35</v>
      </c>
      <c r="D129" s="201">
        <f t="shared" si="1"/>
        <v>0.01675651175</v>
      </c>
      <c r="E129" s="81"/>
      <c r="F129" s="247">
        <v>551.5</v>
      </c>
      <c r="G129" s="201">
        <f t="shared" si="2"/>
        <v>-0.02026967011</v>
      </c>
      <c r="Y129" s="205">
        <v>172.8</v>
      </c>
      <c r="Z129" s="206">
        <v>0.0372</v>
      </c>
      <c r="AA129" s="207"/>
      <c r="AB129" s="208">
        <v>176.74</v>
      </c>
      <c r="AC129" s="209">
        <v>0.0572</v>
      </c>
      <c r="AD129" s="207"/>
      <c r="AE129" s="210">
        <v>38.65</v>
      </c>
      <c r="AF129" s="206">
        <v>0.0531</v>
      </c>
      <c r="AG129" s="207"/>
      <c r="AH129" s="211">
        <v>2316.6</v>
      </c>
      <c r="AI129" s="206">
        <v>3.0E-4</v>
      </c>
    </row>
    <row r="130" ht="15.75" customHeight="1">
      <c r="B130" s="199">
        <v>44801.0</v>
      </c>
      <c r="C130" s="200">
        <v>17539.45</v>
      </c>
      <c r="D130" s="201">
        <f t="shared" si="1"/>
        <v>-0.001107700368</v>
      </c>
      <c r="E130" s="81"/>
      <c r="F130" s="247">
        <v>562.91</v>
      </c>
      <c r="G130" s="201">
        <f t="shared" si="2"/>
        <v>0.00183313163</v>
      </c>
      <c r="Y130" s="205">
        <v>166.6</v>
      </c>
      <c r="Z130" s="206">
        <v>0.0297</v>
      </c>
      <c r="AA130" s="207"/>
      <c r="AB130" s="208">
        <v>167.18</v>
      </c>
      <c r="AC130" s="209">
        <v>-0.0058</v>
      </c>
      <c r="AD130" s="207"/>
      <c r="AE130" s="210">
        <v>36.7</v>
      </c>
      <c r="AF130" s="206">
        <v>-0.0553</v>
      </c>
      <c r="AG130" s="207"/>
      <c r="AH130" s="211">
        <v>2315.9</v>
      </c>
      <c r="AI130" s="206">
        <v>-0.0282</v>
      </c>
    </row>
    <row r="131" ht="15.75" customHeight="1">
      <c r="B131" s="199">
        <v>44794.0</v>
      </c>
      <c r="C131" s="200">
        <v>17558.9</v>
      </c>
      <c r="D131" s="201">
        <f t="shared" si="1"/>
        <v>-0.01123690412</v>
      </c>
      <c r="E131" s="81"/>
      <c r="F131" s="247">
        <v>561.88</v>
      </c>
      <c r="G131" s="201">
        <f t="shared" si="2"/>
        <v>-0.01714245732</v>
      </c>
      <c r="Y131" s="205">
        <v>161.8</v>
      </c>
      <c r="Z131" s="206">
        <v>-0.0098</v>
      </c>
      <c r="AA131" s="207"/>
      <c r="AB131" s="208">
        <v>168.15</v>
      </c>
      <c r="AC131" s="209">
        <v>-0.0271</v>
      </c>
      <c r="AD131" s="207"/>
      <c r="AE131" s="210">
        <v>38.85</v>
      </c>
      <c r="AF131" s="206">
        <v>0.0928</v>
      </c>
      <c r="AG131" s="207"/>
      <c r="AH131" s="211">
        <v>2383.1</v>
      </c>
      <c r="AI131" s="206">
        <v>-0.004</v>
      </c>
    </row>
    <row r="132" ht="15.75" customHeight="1">
      <c r="B132" s="199">
        <v>44787.0</v>
      </c>
      <c r="C132" s="200">
        <v>17758.45</v>
      </c>
      <c r="D132" s="201">
        <f t="shared" si="1"/>
        <v>0.003407135774</v>
      </c>
      <c r="E132" s="81"/>
      <c r="F132" s="247">
        <v>571.68</v>
      </c>
      <c r="G132" s="201">
        <f t="shared" si="2"/>
        <v>0.01243226012</v>
      </c>
      <c r="Y132" s="205">
        <v>163.4</v>
      </c>
      <c r="Z132" s="206">
        <v>0.0358</v>
      </c>
      <c r="AA132" s="207"/>
      <c r="AB132" s="208">
        <v>172.84</v>
      </c>
      <c r="AC132" s="209">
        <v>0.0101</v>
      </c>
      <c r="AD132" s="207"/>
      <c r="AE132" s="210">
        <v>35.55</v>
      </c>
      <c r="AF132" s="206">
        <v>0.0186</v>
      </c>
      <c r="AG132" s="207"/>
      <c r="AH132" s="211">
        <v>2392.75</v>
      </c>
      <c r="AI132" s="206">
        <v>-0.0077</v>
      </c>
    </row>
    <row r="133" ht="15.75" customHeight="1">
      <c r="B133" s="199">
        <v>44780.0</v>
      </c>
      <c r="C133" s="200">
        <v>17698.15</v>
      </c>
      <c r="D133" s="201">
        <f t="shared" si="1"/>
        <v>0.01728121857</v>
      </c>
      <c r="E133" s="81"/>
      <c r="F133" s="247">
        <v>564.66</v>
      </c>
      <c r="G133" s="201">
        <f t="shared" si="2"/>
        <v>0.07089212563</v>
      </c>
      <c r="Y133" s="205">
        <v>157.75</v>
      </c>
      <c r="Z133" s="206">
        <v>-0.0047</v>
      </c>
      <c r="AA133" s="207"/>
      <c r="AB133" s="208">
        <v>171.11</v>
      </c>
      <c r="AC133" s="209">
        <v>4.0E-4</v>
      </c>
      <c r="AD133" s="207"/>
      <c r="AE133" s="210">
        <v>34.9</v>
      </c>
      <c r="AF133" s="206">
        <v>0.0265</v>
      </c>
      <c r="AG133" s="207"/>
      <c r="AH133" s="211">
        <v>2411.35</v>
      </c>
      <c r="AI133" s="206">
        <v>0.1082</v>
      </c>
    </row>
    <row r="134" ht="15.75" customHeight="1">
      <c r="B134" s="199">
        <v>44773.0</v>
      </c>
      <c r="C134" s="200">
        <v>17397.5</v>
      </c>
      <c r="D134" s="201">
        <f t="shared" si="1"/>
        <v>0.01394372969</v>
      </c>
      <c r="E134" s="81"/>
      <c r="F134" s="247">
        <v>527.28</v>
      </c>
      <c r="G134" s="201">
        <f t="shared" si="2"/>
        <v>0.03068923726</v>
      </c>
      <c r="Y134" s="205">
        <v>158.5</v>
      </c>
      <c r="Z134" s="206">
        <v>0.0186</v>
      </c>
      <c r="AA134" s="207"/>
      <c r="AB134" s="208">
        <v>171.04</v>
      </c>
      <c r="AC134" s="209">
        <v>0.0197</v>
      </c>
      <c r="AD134" s="207"/>
      <c r="AE134" s="210">
        <v>34.0</v>
      </c>
      <c r="AF134" s="206">
        <v>-0.0529</v>
      </c>
      <c r="AG134" s="207"/>
      <c r="AH134" s="211">
        <v>2176.0</v>
      </c>
      <c r="AI134" s="206">
        <v>0.0331</v>
      </c>
    </row>
    <row r="135" ht="15.75" customHeight="1">
      <c r="B135" s="199">
        <v>44766.0</v>
      </c>
      <c r="C135" s="200">
        <v>17158.25</v>
      </c>
      <c r="D135" s="201">
        <f t="shared" si="1"/>
        <v>0.02624488246</v>
      </c>
      <c r="E135" s="81"/>
      <c r="F135" s="247">
        <v>511.58</v>
      </c>
      <c r="G135" s="201">
        <f t="shared" si="2"/>
        <v>0.04282773101</v>
      </c>
      <c r="Y135" s="205">
        <v>155.6</v>
      </c>
      <c r="Z135" s="206">
        <v>0.0173</v>
      </c>
      <c r="AA135" s="207"/>
      <c r="AB135" s="208">
        <v>167.74</v>
      </c>
      <c r="AC135" s="209">
        <v>0.0453</v>
      </c>
      <c r="AD135" s="207"/>
      <c r="AE135" s="210">
        <v>35.9</v>
      </c>
      <c r="AF135" s="206">
        <v>0.0512</v>
      </c>
      <c r="AG135" s="207"/>
      <c r="AH135" s="211">
        <v>2106.2</v>
      </c>
      <c r="AI135" s="206">
        <v>-0.0315</v>
      </c>
    </row>
    <row r="136" ht="15.75" customHeight="1">
      <c r="B136" s="199">
        <v>44759.0</v>
      </c>
      <c r="C136" s="200">
        <v>16719.45</v>
      </c>
      <c r="D136" s="201">
        <f t="shared" si="1"/>
        <v>0.04176220622</v>
      </c>
      <c r="E136" s="81"/>
      <c r="F136" s="247">
        <v>490.57</v>
      </c>
      <c r="G136" s="201">
        <f t="shared" si="2"/>
        <v>0.01236122003</v>
      </c>
      <c r="Y136" s="205">
        <v>152.95</v>
      </c>
      <c r="Z136" s="206">
        <v>0.0269</v>
      </c>
      <c r="AA136" s="207"/>
      <c r="AB136" s="208">
        <v>160.46</v>
      </c>
      <c r="AC136" s="209">
        <v>0.0188</v>
      </c>
      <c r="AD136" s="207"/>
      <c r="AE136" s="210">
        <v>34.15</v>
      </c>
      <c r="AF136" s="206">
        <v>0.0286</v>
      </c>
      <c r="AG136" s="207"/>
      <c r="AH136" s="211">
        <v>2174.7</v>
      </c>
      <c r="AI136" s="206">
        <v>0.0256</v>
      </c>
    </row>
    <row r="137" ht="15.75" customHeight="1">
      <c r="B137" s="199">
        <v>44752.0</v>
      </c>
      <c r="C137" s="200">
        <v>16049.2</v>
      </c>
      <c r="D137" s="201">
        <f t="shared" si="1"/>
        <v>-0.01056681011</v>
      </c>
      <c r="E137" s="81"/>
      <c r="F137" s="247">
        <v>484.58</v>
      </c>
      <c r="G137" s="201">
        <f t="shared" si="2"/>
        <v>0.03370450958</v>
      </c>
      <c r="Y137" s="205">
        <v>148.95</v>
      </c>
      <c r="Z137" s="206">
        <v>-0.0053</v>
      </c>
      <c r="AA137" s="207"/>
      <c r="AB137" s="208">
        <v>157.5</v>
      </c>
      <c r="AC137" s="209">
        <v>0.0033</v>
      </c>
      <c r="AD137" s="207"/>
      <c r="AE137" s="210">
        <v>33.2</v>
      </c>
      <c r="AF137" s="206">
        <v>-0.0405</v>
      </c>
      <c r="AG137" s="207"/>
      <c r="AH137" s="211">
        <v>2120.45</v>
      </c>
      <c r="AI137" s="206">
        <v>0.0231</v>
      </c>
    </row>
    <row r="138" ht="15.75" customHeight="1">
      <c r="B138" s="199">
        <v>44745.0</v>
      </c>
      <c r="C138" s="200">
        <v>16220.6</v>
      </c>
      <c r="D138" s="201">
        <f t="shared" si="1"/>
        <v>0.02974533473</v>
      </c>
      <c r="E138" s="81"/>
      <c r="F138" s="247">
        <v>468.78</v>
      </c>
      <c r="G138" s="201">
        <f t="shared" si="2"/>
        <v>0.0489829712</v>
      </c>
      <c r="Y138" s="205">
        <v>149.75</v>
      </c>
      <c r="Z138" s="206">
        <v>0.0421</v>
      </c>
      <c r="AA138" s="207"/>
      <c r="AB138" s="208">
        <v>156.98</v>
      </c>
      <c r="AC138" s="209">
        <v>-0.0434</v>
      </c>
      <c r="AD138" s="207"/>
      <c r="AE138" s="210">
        <v>34.6</v>
      </c>
      <c r="AF138" s="206">
        <v>0.0712</v>
      </c>
      <c r="AG138" s="207"/>
      <c r="AH138" s="211">
        <v>2072.65</v>
      </c>
      <c r="AI138" s="206">
        <v>0.0789</v>
      </c>
    </row>
    <row r="139" ht="15.75" customHeight="1">
      <c r="B139" s="199">
        <v>44738.0</v>
      </c>
      <c r="C139" s="200">
        <v>15752.05</v>
      </c>
      <c r="D139" s="201">
        <f t="shared" si="1"/>
        <v>0.003363217988</v>
      </c>
      <c r="E139" s="81"/>
      <c r="F139" s="247">
        <v>446.89</v>
      </c>
      <c r="G139" s="201">
        <f t="shared" si="2"/>
        <v>-0.009091110668</v>
      </c>
      <c r="Y139" s="205">
        <v>143.7</v>
      </c>
      <c r="Z139" s="206">
        <v>0.0217</v>
      </c>
      <c r="AA139" s="207"/>
      <c r="AB139" s="208">
        <v>164.1</v>
      </c>
      <c r="AC139" s="209">
        <v>0.0596</v>
      </c>
      <c r="AD139" s="207"/>
      <c r="AE139" s="210">
        <v>32.3</v>
      </c>
      <c r="AF139" s="206">
        <v>0.047</v>
      </c>
      <c r="AG139" s="207"/>
      <c r="AH139" s="211">
        <v>1921.0</v>
      </c>
      <c r="AI139" s="206">
        <v>-0.0217</v>
      </c>
    </row>
    <row r="140" ht="15.75" customHeight="1">
      <c r="B140" s="199">
        <v>44731.0</v>
      </c>
      <c r="C140" s="200">
        <v>15699.25</v>
      </c>
      <c r="D140" s="201">
        <f t="shared" si="1"/>
        <v>0.02653087913</v>
      </c>
      <c r="E140" s="81"/>
      <c r="F140" s="247">
        <v>450.99</v>
      </c>
      <c r="G140" s="201">
        <f t="shared" si="2"/>
        <v>-0.006432993325</v>
      </c>
      <c r="Y140" s="205">
        <v>140.65</v>
      </c>
      <c r="Z140" s="206">
        <v>0.0296</v>
      </c>
      <c r="AA140" s="207"/>
      <c r="AB140" s="208">
        <v>154.88</v>
      </c>
      <c r="AC140" s="209">
        <v>-0.0117</v>
      </c>
      <c r="AD140" s="207"/>
      <c r="AE140" s="210">
        <v>30.85</v>
      </c>
      <c r="AF140" s="206">
        <v>-0.0064</v>
      </c>
      <c r="AG140" s="207"/>
      <c r="AH140" s="211">
        <v>1963.65</v>
      </c>
      <c r="AI140" s="206">
        <v>0.0571</v>
      </c>
    </row>
    <row r="141" ht="15.75" customHeight="1">
      <c r="B141" s="199">
        <v>44724.0</v>
      </c>
      <c r="C141" s="200">
        <v>15293.5</v>
      </c>
      <c r="D141" s="201">
        <f t="shared" si="1"/>
        <v>-0.05606167216</v>
      </c>
      <c r="E141" s="81"/>
      <c r="F141" s="247">
        <v>453.91</v>
      </c>
      <c r="G141" s="201">
        <f t="shared" si="2"/>
        <v>-0.0008584635703</v>
      </c>
      <c r="Y141" s="205">
        <v>136.6</v>
      </c>
      <c r="Z141" s="206">
        <v>-0.0274</v>
      </c>
      <c r="AA141" s="207"/>
      <c r="AB141" s="208">
        <v>156.71</v>
      </c>
      <c r="AC141" s="209">
        <v>-0.0114</v>
      </c>
      <c r="AD141" s="207"/>
      <c r="AE141" s="210">
        <v>31.05</v>
      </c>
      <c r="AF141" s="206">
        <v>0.0299</v>
      </c>
      <c r="AG141" s="207"/>
      <c r="AH141" s="211">
        <v>1857.6</v>
      </c>
      <c r="AI141" s="206">
        <v>0.0855</v>
      </c>
    </row>
    <row r="142" ht="15.75" customHeight="1">
      <c r="B142" s="199">
        <v>44717.0</v>
      </c>
      <c r="C142" s="200">
        <v>16201.8</v>
      </c>
      <c r="D142" s="201">
        <f t="shared" si="1"/>
        <v>-0.0230639822</v>
      </c>
      <c r="E142" s="81"/>
      <c r="F142" s="247">
        <v>454.3</v>
      </c>
      <c r="G142" s="201">
        <f t="shared" si="2"/>
        <v>0.0009694619486</v>
      </c>
      <c r="Y142" s="205">
        <v>140.45</v>
      </c>
      <c r="Z142" s="206">
        <v>-0.0953</v>
      </c>
      <c r="AA142" s="207"/>
      <c r="AB142" s="208">
        <v>158.51</v>
      </c>
      <c r="AC142" s="209">
        <v>-0.0584</v>
      </c>
      <c r="AD142" s="207"/>
      <c r="AE142" s="210">
        <v>30.15</v>
      </c>
      <c r="AF142" s="206">
        <v>-0.0836</v>
      </c>
      <c r="AG142" s="207"/>
      <c r="AH142" s="211">
        <v>1711.25</v>
      </c>
      <c r="AI142" s="206">
        <v>-0.0264</v>
      </c>
    </row>
    <row r="143" ht="15.75" customHeight="1">
      <c r="B143" s="199">
        <v>44710.0</v>
      </c>
      <c r="C143" s="200">
        <v>16584.3</v>
      </c>
      <c r="D143" s="201">
        <f t="shared" si="1"/>
        <v>0.01417830356</v>
      </c>
      <c r="E143" s="81"/>
      <c r="F143" s="247">
        <v>453.86</v>
      </c>
      <c r="G143" s="201">
        <f t="shared" si="2"/>
        <v>0.07491177794</v>
      </c>
      <c r="Y143" s="205">
        <v>155.25</v>
      </c>
      <c r="Z143" s="206">
        <v>0.0016</v>
      </c>
      <c r="AA143" s="207"/>
      <c r="AB143" s="208">
        <v>168.34</v>
      </c>
      <c r="AC143" s="209">
        <v>-0.0069</v>
      </c>
      <c r="AD143" s="207"/>
      <c r="AE143" s="210">
        <v>32.9</v>
      </c>
      <c r="AF143" s="206">
        <v>0.0108</v>
      </c>
      <c r="AG143" s="207"/>
      <c r="AH143" s="211">
        <v>1757.6</v>
      </c>
      <c r="AI143" s="206">
        <v>-0.053</v>
      </c>
    </row>
    <row r="144" ht="15.75" customHeight="1">
      <c r="B144" s="199">
        <v>44703.0</v>
      </c>
      <c r="C144" s="200">
        <v>16352.45</v>
      </c>
      <c r="D144" s="201">
        <f t="shared" si="1"/>
        <v>0.005305496384</v>
      </c>
      <c r="E144" s="81"/>
      <c r="F144" s="247">
        <v>422.23</v>
      </c>
      <c r="G144" s="201">
        <f t="shared" si="2"/>
        <v>0.008021581875</v>
      </c>
      <c r="Y144" s="205">
        <v>155.0</v>
      </c>
      <c r="Z144" s="206">
        <v>0.0302</v>
      </c>
      <c r="AA144" s="207"/>
      <c r="AB144" s="208">
        <v>169.5</v>
      </c>
      <c r="AC144" s="209">
        <v>0.0058</v>
      </c>
      <c r="AD144" s="207"/>
      <c r="AE144" s="210">
        <v>32.55</v>
      </c>
      <c r="AF144" s="206">
        <v>-0.0211</v>
      </c>
      <c r="AG144" s="207"/>
      <c r="AH144" s="211">
        <v>1855.9</v>
      </c>
      <c r="AI144" s="206">
        <v>-0.1433</v>
      </c>
    </row>
    <row r="145" ht="15.75" customHeight="1">
      <c r="B145" s="199">
        <v>44696.0</v>
      </c>
      <c r="C145" s="200">
        <v>16266.15</v>
      </c>
      <c r="D145" s="201">
        <f t="shared" si="1"/>
        <v>0.03066755797</v>
      </c>
      <c r="E145" s="81"/>
      <c r="F145" s="247">
        <v>418.87</v>
      </c>
      <c r="G145" s="201">
        <f t="shared" si="2"/>
        <v>-0.00463381018</v>
      </c>
      <c r="Y145" s="205">
        <v>150.45</v>
      </c>
      <c r="Z145" s="206">
        <v>0.0057</v>
      </c>
      <c r="AA145" s="207"/>
      <c r="AB145" s="208">
        <v>168.52</v>
      </c>
      <c r="AC145" s="209">
        <v>-0.019</v>
      </c>
      <c r="AD145" s="207"/>
      <c r="AE145" s="210">
        <v>33.25</v>
      </c>
      <c r="AF145" s="206">
        <v>0.0391</v>
      </c>
      <c r="AG145" s="207"/>
      <c r="AH145" s="211">
        <v>2166.45</v>
      </c>
      <c r="AI145" s="206">
        <v>-0.0471</v>
      </c>
    </row>
    <row r="146" ht="15.75" customHeight="1">
      <c r="B146" s="199">
        <v>44689.0</v>
      </c>
      <c r="C146" s="200">
        <v>15782.15</v>
      </c>
      <c r="D146" s="201">
        <f t="shared" si="1"/>
        <v>-0.03833346028</v>
      </c>
      <c r="E146" s="81"/>
      <c r="F146" s="247">
        <v>420.82</v>
      </c>
      <c r="G146" s="201">
        <f t="shared" si="2"/>
        <v>-0.1252416488</v>
      </c>
      <c r="Y146" s="205">
        <v>149.6</v>
      </c>
      <c r="Z146" s="206">
        <v>0.0378</v>
      </c>
      <c r="AA146" s="207"/>
      <c r="AB146" s="208">
        <v>171.79</v>
      </c>
      <c r="AC146" s="209">
        <v>-0.0307</v>
      </c>
      <c r="AD146" s="207"/>
      <c r="AE146" s="210">
        <v>32.0</v>
      </c>
      <c r="AF146" s="206">
        <v>0.0273</v>
      </c>
      <c r="AG146" s="207"/>
      <c r="AH146" s="211">
        <v>2273.65</v>
      </c>
      <c r="AI146" s="206">
        <v>0.047</v>
      </c>
    </row>
    <row r="147" ht="15.75" customHeight="1">
      <c r="B147" s="199">
        <v>44682.0</v>
      </c>
      <c r="C147" s="200">
        <v>16411.25</v>
      </c>
      <c r="D147" s="201">
        <f t="shared" si="1"/>
        <v>-0.04042087291</v>
      </c>
      <c r="E147" s="81"/>
      <c r="F147" s="247">
        <v>481.07</v>
      </c>
      <c r="G147" s="201">
        <f t="shared" si="2"/>
        <v>-0.07445600939</v>
      </c>
      <c r="Y147" s="205">
        <v>144.15</v>
      </c>
      <c r="Z147" s="206">
        <v>-0.0934</v>
      </c>
      <c r="AA147" s="207"/>
      <c r="AB147" s="208">
        <v>177.23</v>
      </c>
      <c r="AC147" s="209">
        <v>-0.0088</v>
      </c>
      <c r="AD147" s="207"/>
      <c r="AE147" s="210">
        <v>31.15</v>
      </c>
      <c r="AF147" s="206">
        <v>-0.077</v>
      </c>
      <c r="AG147" s="207"/>
      <c r="AH147" s="211">
        <v>2171.55</v>
      </c>
      <c r="AI147" s="206">
        <v>-0.2446</v>
      </c>
    </row>
    <row r="148" ht="15.75" customHeight="1">
      <c r="B148" s="199">
        <v>44675.0</v>
      </c>
      <c r="C148" s="200">
        <v>17102.55</v>
      </c>
      <c r="D148" s="201">
        <f t="shared" si="1"/>
        <v>-0.004041474614</v>
      </c>
      <c r="E148" s="81"/>
      <c r="F148" s="247">
        <v>519.77</v>
      </c>
      <c r="G148" s="201">
        <f t="shared" si="2"/>
        <v>-0.01560576504</v>
      </c>
      <c r="Y148" s="205">
        <v>159.0</v>
      </c>
      <c r="Z148" s="206">
        <v>0.0179</v>
      </c>
      <c r="AA148" s="207"/>
      <c r="AB148" s="208">
        <v>178.8</v>
      </c>
      <c r="AC148" s="209">
        <v>0.0468</v>
      </c>
      <c r="AD148" s="207"/>
      <c r="AE148" s="210">
        <v>33.75</v>
      </c>
      <c r="AF148" s="206">
        <v>0.0166</v>
      </c>
      <c r="AG148" s="207"/>
      <c r="AH148" s="211">
        <v>2874.8</v>
      </c>
      <c r="AI148" s="206">
        <v>-0.0028</v>
      </c>
    </row>
    <row r="149" ht="15.75" customHeight="1">
      <c r="B149" s="199">
        <v>44668.0</v>
      </c>
      <c r="C149" s="200">
        <v>17171.95</v>
      </c>
      <c r="D149" s="201">
        <f t="shared" si="1"/>
        <v>-0.01737846661</v>
      </c>
      <c r="E149" s="81"/>
      <c r="F149" s="247">
        <v>528.01</v>
      </c>
      <c r="G149" s="201">
        <f t="shared" si="2"/>
        <v>-0.01175391641</v>
      </c>
      <c r="Y149" s="205">
        <v>156.2</v>
      </c>
      <c r="Z149" s="206">
        <v>-0.0265</v>
      </c>
      <c r="AA149" s="207"/>
      <c r="AB149" s="208">
        <v>170.81</v>
      </c>
      <c r="AC149" s="209">
        <v>0.0102</v>
      </c>
      <c r="AD149" s="207"/>
      <c r="AE149" s="210">
        <v>33.2</v>
      </c>
      <c r="AF149" s="206">
        <v>-0.0661</v>
      </c>
      <c r="AG149" s="207"/>
      <c r="AH149" s="211">
        <v>2882.8</v>
      </c>
      <c r="AI149" s="206">
        <v>0.0</v>
      </c>
    </row>
    <row r="150" ht="15.75" customHeight="1">
      <c r="B150" s="199">
        <v>44661.0</v>
      </c>
      <c r="C150" s="200">
        <v>17475.65</v>
      </c>
      <c r="D150" s="201">
        <f t="shared" si="1"/>
        <v>-0.01735795798</v>
      </c>
      <c r="E150" s="81"/>
      <c r="F150" s="247">
        <v>534.29</v>
      </c>
      <c r="G150" s="201">
        <f t="shared" si="2"/>
        <v>0.01013366608</v>
      </c>
      <c r="Y150" s="205">
        <v>160.45</v>
      </c>
      <c r="Z150" s="206">
        <v>0.0422</v>
      </c>
      <c r="AA150" s="207"/>
      <c r="AB150" s="208">
        <v>169.09</v>
      </c>
      <c r="AC150" s="209">
        <v>-0.0176</v>
      </c>
      <c r="AD150" s="207"/>
      <c r="AE150" s="210">
        <v>35.55</v>
      </c>
      <c r="AF150" s="206">
        <v>0.1268</v>
      </c>
      <c r="AG150" s="207"/>
      <c r="AH150" s="211">
        <v>2882.8</v>
      </c>
      <c r="AI150" s="206">
        <v>0.0065</v>
      </c>
    </row>
    <row r="151" ht="15.75" customHeight="1">
      <c r="B151" s="199">
        <v>44654.0</v>
      </c>
      <c r="C151" s="200">
        <v>17784.35</v>
      </c>
      <c r="D151" s="201">
        <f t="shared" si="1"/>
        <v>0.006445789439</v>
      </c>
      <c r="E151" s="81"/>
      <c r="F151" s="247">
        <v>528.93</v>
      </c>
      <c r="G151" s="201">
        <f t="shared" si="2"/>
        <v>0.07969135928</v>
      </c>
      <c r="Y151" s="205">
        <v>153.95</v>
      </c>
      <c r="Z151" s="206">
        <v>0.0125</v>
      </c>
      <c r="AA151" s="207"/>
      <c r="AB151" s="208">
        <v>172.13</v>
      </c>
      <c r="AC151" s="209">
        <v>-0.0133</v>
      </c>
      <c r="AD151" s="207"/>
      <c r="AE151" s="210">
        <v>31.55</v>
      </c>
      <c r="AF151" s="206">
        <v>0.0327</v>
      </c>
      <c r="AG151" s="207"/>
      <c r="AH151" s="211">
        <v>2864.3</v>
      </c>
      <c r="AI151" s="206">
        <v>0.2336</v>
      </c>
    </row>
    <row r="152" ht="15.75" customHeight="1">
      <c r="B152" s="199">
        <v>44647.0</v>
      </c>
      <c r="C152" s="200">
        <v>17670.45</v>
      </c>
      <c r="D152" s="201">
        <f t="shared" si="1"/>
        <v>0.03016673468</v>
      </c>
      <c r="E152" s="81"/>
      <c r="F152" s="247">
        <v>489.89</v>
      </c>
      <c r="G152" s="201">
        <f t="shared" si="2"/>
        <v>0.03406860158</v>
      </c>
      <c r="Y152" s="205">
        <v>152.05</v>
      </c>
      <c r="Z152" s="206">
        <v>0.0637</v>
      </c>
      <c r="AA152" s="207"/>
      <c r="AB152" s="208">
        <v>174.45</v>
      </c>
      <c r="AC152" s="209">
        <v>0.0335</v>
      </c>
      <c r="AD152" s="207"/>
      <c r="AE152" s="210">
        <v>30.55</v>
      </c>
      <c r="AF152" s="206">
        <v>0.0969</v>
      </c>
      <c r="AG152" s="207"/>
      <c r="AH152" s="211">
        <v>2321.85</v>
      </c>
      <c r="AI152" s="206">
        <v>0.1937</v>
      </c>
    </row>
    <row r="153" ht="15.75" customHeight="1">
      <c r="B153" s="199">
        <v>44640.0</v>
      </c>
      <c r="C153" s="200">
        <v>17153.0</v>
      </c>
      <c r="D153" s="201">
        <f t="shared" si="1"/>
        <v>-0.007754359477</v>
      </c>
      <c r="E153" s="81"/>
      <c r="F153" s="247">
        <v>473.75</v>
      </c>
      <c r="G153" s="201">
        <f t="shared" si="2"/>
        <v>0.005689175706</v>
      </c>
      <c r="Y153" s="205">
        <v>142.95</v>
      </c>
      <c r="Z153" s="206">
        <v>0.0609</v>
      </c>
      <c r="AA153" s="207"/>
      <c r="AB153" s="208">
        <v>168.79</v>
      </c>
      <c r="AC153" s="209">
        <v>0.0735</v>
      </c>
      <c r="AD153" s="207"/>
      <c r="AE153" s="210">
        <v>27.85</v>
      </c>
      <c r="AF153" s="206">
        <v>0.022</v>
      </c>
      <c r="AG153" s="207"/>
      <c r="AH153" s="211">
        <v>1945.1</v>
      </c>
      <c r="AI153" s="206">
        <v>0.0124</v>
      </c>
    </row>
    <row r="154" ht="15.75" customHeight="1">
      <c r="B154" s="199">
        <v>44633.0</v>
      </c>
      <c r="C154" s="200">
        <v>17287.05</v>
      </c>
      <c r="D154" s="201">
        <f t="shared" si="1"/>
        <v>0.03948179394</v>
      </c>
      <c r="E154" s="81"/>
      <c r="F154" s="247">
        <v>471.07</v>
      </c>
      <c r="G154" s="201">
        <f t="shared" si="2"/>
        <v>0.004885020692</v>
      </c>
      <c r="Y154" s="205">
        <v>134.75</v>
      </c>
      <c r="Z154" s="206">
        <v>0.0139</v>
      </c>
      <c r="AA154" s="207"/>
      <c r="AB154" s="208">
        <v>157.24</v>
      </c>
      <c r="AC154" s="209">
        <v>-0.009</v>
      </c>
      <c r="AD154" s="207"/>
      <c r="AE154" s="210">
        <v>27.25</v>
      </c>
      <c r="AF154" s="206">
        <v>-0.0285</v>
      </c>
      <c r="AG154" s="207"/>
      <c r="AH154" s="211">
        <v>1921.25</v>
      </c>
      <c r="AI154" s="206">
        <v>0.0105</v>
      </c>
    </row>
    <row r="155" ht="15.75" customHeight="1">
      <c r="B155" s="199">
        <v>44626.0</v>
      </c>
      <c r="C155" s="200">
        <v>16630.45</v>
      </c>
      <c r="D155" s="201">
        <f t="shared" si="1"/>
        <v>0.02370524489</v>
      </c>
      <c r="E155" s="81"/>
      <c r="F155" s="247">
        <v>468.78</v>
      </c>
      <c r="G155" s="201">
        <f t="shared" si="2"/>
        <v>0.02582169898</v>
      </c>
      <c r="Y155" s="205">
        <v>132.9</v>
      </c>
      <c r="Z155" s="206">
        <v>0.0072</v>
      </c>
      <c r="AA155" s="207"/>
      <c r="AB155" s="208">
        <v>158.66</v>
      </c>
      <c r="AC155" s="209">
        <v>-0.0042</v>
      </c>
      <c r="AD155" s="207"/>
      <c r="AE155" s="210">
        <v>28.05</v>
      </c>
      <c r="AF155" s="206">
        <v>-0.0141</v>
      </c>
      <c r="AG155" s="207"/>
      <c r="AH155" s="211">
        <v>1901.2</v>
      </c>
      <c r="AI155" s="206">
        <v>0.0221</v>
      </c>
    </row>
    <row r="156" ht="15.75" customHeight="1">
      <c r="B156" s="199">
        <v>44619.0</v>
      </c>
      <c r="C156" s="200">
        <v>16245.35</v>
      </c>
      <c r="D156" s="201">
        <f t="shared" si="1"/>
        <v>-0.02479529847</v>
      </c>
      <c r="E156" s="81"/>
      <c r="F156" s="247">
        <v>456.98</v>
      </c>
      <c r="G156" s="201">
        <f t="shared" si="2"/>
        <v>0.008385189108</v>
      </c>
      <c r="Y156" s="205">
        <v>131.95</v>
      </c>
      <c r="Z156" s="206">
        <v>0.0134</v>
      </c>
      <c r="AA156" s="207"/>
      <c r="AB156" s="208">
        <v>159.34</v>
      </c>
      <c r="AC156" s="209">
        <v>-0.0121</v>
      </c>
      <c r="AD156" s="207"/>
      <c r="AE156" s="210">
        <v>28.45</v>
      </c>
      <c r="AF156" s="206">
        <v>0.0143</v>
      </c>
      <c r="AG156" s="207"/>
      <c r="AH156" s="211">
        <v>1860.05</v>
      </c>
      <c r="AI156" s="206">
        <v>-0.0181</v>
      </c>
    </row>
    <row r="157" ht="15.75" customHeight="1">
      <c r="B157" s="199">
        <v>44612.0</v>
      </c>
      <c r="C157" s="200">
        <v>16658.4</v>
      </c>
      <c r="D157" s="201">
        <f t="shared" si="1"/>
        <v>-0.03576576003</v>
      </c>
      <c r="E157" s="81"/>
      <c r="F157" s="247">
        <v>453.18</v>
      </c>
      <c r="G157" s="201">
        <f t="shared" si="2"/>
        <v>-0.03054806828</v>
      </c>
      <c r="Y157" s="205">
        <v>130.2</v>
      </c>
      <c r="Z157" s="206">
        <v>-0.0012</v>
      </c>
      <c r="AA157" s="207"/>
      <c r="AB157" s="208">
        <v>161.29</v>
      </c>
      <c r="AC157" s="209">
        <v>0.09</v>
      </c>
      <c r="AD157" s="207"/>
      <c r="AE157" s="210">
        <v>28.05</v>
      </c>
      <c r="AF157" s="206">
        <v>0.0126</v>
      </c>
      <c r="AG157" s="207"/>
      <c r="AH157" s="211">
        <v>1894.3</v>
      </c>
      <c r="AI157" s="206">
        <v>-0.0152</v>
      </c>
    </row>
    <row r="158" ht="15.75" customHeight="1">
      <c r="B158" s="199">
        <v>44605.0</v>
      </c>
      <c r="C158" s="200">
        <v>17276.3</v>
      </c>
      <c r="D158" s="201">
        <f t="shared" si="1"/>
        <v>-0.005666268579</v>
      </c>
      <c r="E158" s="81"/>
      <c r="F158" s="247">
        <v>467.46</v>
      </c>
      <c r="G158" s="201">
        <f t="shared" si="2"/>
        <v>-0.03211379589</v>
      </c>
      <c r="Y158" s="205">
        <v>130.35</v>
      </c>
      <c r="Z158" s="206">
        <v>-0.0151</v>
      </c>
      <c r="AA158" s="207"/>
      <c r="AB158" s="208">
        <v>147.98</v>
      </c>
      <c r="AC158" s="209">
        <v>0.0082</v>
      </c>
      <c r="AD158" s="207"/>
      <c r="AE158" s="210">
        <v>27.7</v>
      </c>
      <c r="AF158" s="206">
        <v>-0.0751</v>
      </c>
      <c r="AG158" s="207"/>
      <c r="AH158" s="211">
        <v>1923.5</v>
      </c>
      <c r="AI158" s="206">
        <v>-0.058</v>
      </c>
    </row>
    <row r="159" ht="15.75" customHeight="1">
      <c r="B159" s="199">
        <v>44598.0</v>
      </c>
      <c r="C159" s="200">
        <v>17374.75</v>
      </c>
      <c r="D159" s="201">
        <f t="shared" si="1"/>
        <v>-0.008081044513</v>
      </c>
      <c r="E159" s="81"/>
      <c r="F159" s="247">
        <v>482.97</v>
      </c>
      <c r="G159" s="201">
        <f t="shared" si="2"/>
        <v>-0.1463643112</v>
      </c>
      <c r="Y159" s="205">
        <v>132.35</v>
      </c>
      <c r="Z159" s="206">
        <v>-0.035</v>
      </c>
      <c r="AA159" s="207"/>
      <c r="AB159" s="208">
        <v>146.77</v>
      </c>
      <c r="AC159" s="209">
        <v>-0.0582</v>
      </c>
      <c r="AD159" s="207"/>
      <c r="AE159" s="210">
        <v>29.95</v>
      </c>
      <c r="AF159" s="206">
        <v>0.0222</v>
      </c>
      <c r="AG159" s="207"/>
      <c r="AH159" s="211">
        <v>2041.85</v>
      </c>
      <c r="AI159" s="206">
        <v>0.0704</v>
      </c>
    </row>
    <row r="160" ht="15.75" customHeight="1">
      <c r="B160" s="199">
        <v>44591.0</v>
      </c>
      <c r="C160" s="200">
        <v>17516.3</v>
      </c>
      <c r="D160" s="201">
        <f t="shared" si="1"/>
        <v>0.02422823128</v>
      </c>
      <c r="E160" s="81"/>
      <c r="F160" s="247">
        <v>565.78</v>
      </c>
      <c r="G160" s="201">
        <f t="shared" si="2"/>
        <v>0.07074186223</v>
      </c>
      <c r="Y160" s="205">
        <v>137.15</v>
      </c>
      <c r="Z160" s="206">
        <v>0.022</v>
      </c>
      <c r="AA160" s="207"/>
      <c r="AB160" s="208">
        <v>155.85</v>
      </c>
      <c r="AC160" s="209">
        <v>-0.0091</v>
      </c>
      <c r="AD160" s="207"/>
      <c r="AE160" s="210">
        <v>29.3</v>
      </c>
      <c r="AF160" s="206">
        <v>-0.0201</v>
      </c>
      <c r="AG160" s="207"/>
      <c r="AH160" s="211">
        <v>1907.6</v>
      </c>
      <c r="AI160" s="206">
        <v>-0.0219</v>
      </c>
    </row>
    <row r="161" ht="15.75" customHeight="1">
      <c r="B161" s="199">
        <v>44584.0</v>
      </c>
      <c r="C161" s="200">
        <v>17101.95</v>
      </c>
      <c r="D161" s="201">
        <f t="shared" si="1"/>
        <v>-0.02924423076</v>
      </c>
      <c r="E161" s="81"/>
      <c r="F161" s="247">
        <v>528.4</v>
      </c>
      <c r="G161" s="201">
        <f t="shared" si="2"/>
        <v>-0.01551990759</v>
      </c>
      <c r="Y161" s="205">
        <v>134.2</v>
      </c>
      <c r="Z161" s="206">
        <v>-0.0425</v>
      </c>
      <c r="AA161" s="207"/>
      <c r="AB161" s="208">
        <v>157.27</v>
      </c>
      <c r="AC161" s="209">
        <v>-0.0024</v>
      </c>
      <c r="AD161" s="207"/>
      <c r="AE161" s="210">
        <v>29.9</v>
      </c>
      <c r="AF161" s="206">
        <v>0.005</v>
      </c>
      <c r="AG161" s="207"/>
      <c r="AH161" s="211">
        <v>1950.35</v>
      </c>
      <c r="AI161" s="206">
        <v>0.0062</v>
      </c>
    </row>
    <row r="162" ht="15.75" customHeight="1">
      <c r="B162" s="199">
        <v>44577.0</v>
      </c>
      <c r="C162" s="200">
        <v>17617.15</v>
      </c>
      <c r="D162" s="201">
        <f t="shared" si="1"/>
        <v>-0.03498075949</v>
      </c>
      <c r="E162" s="81"/>
      <c r="F162" s="247">
        <v>536.73</v>
      </c>
      <c r="G162" s="201">
        <f t="shared" si="2"/>
        <v>-0.04889070031</v>
      </c>
      <c r="Y162" s="205">
        <v>140.15</v>
      </c>
      <c r="Z162" s="206">
        <v>0.0451</v>
      </c>
      <c r="AA162" s="207"/>
      <c r="AB162" s="208">
        <v>157.65</v>
      </c>
      <c r="AC162" s="209">
        <v>-0.0228</v>
      </c>
      <c r="AD162" s="207"/>
      <c r="AE162" s="210">
        <v>29.75</v>
      </c>
      <c r="AF162" s="206">
        <v>-0.023</v>
      </c>
      <c r="AG162" s="207"/>
      <c r="AH162" s="211">
        <v>1938.4</v>
      </c>
      <c r="AI162" s="206">
        <v>0.002</v>
      </c>
    </row>
    <row r="163" ht="15.75" customHeight="1">
      <c r="B163" s="199">
        <v>44570.0</v>
      </c>
      <c r="C163" s="200">
        <v>18255.75</v>
      </c>
      <c r="D163" s="201">
        <f t="shared" si="1"/>
        <v>0.02487270318</v>
      </c>
      <c r="E163" s="81"/>
      <c r="F163" s="247">
        <v>564.32</v>
      </c>
      <c r="G163" s="201">
        <f t="shared" si="2"/>
        <v>0.00704891411</v>
      </c>
      <c r="Y163" s="205">
        <v>134.1</v>
      </c>
      <c r="Z163" s="206">
        <v>-0.0092</v>
      </c>
      <c r="AA163" s="207"/>
      <c r="AB163" s="208">
        <v>161.32</v>
      </c>
      <c r="AC163" s="209">
        <v>0.0354</v>
      </c>
      <c r="AD163" s="207"/>
      <c r="AE163" s="210">
        <v>30.45</v>
      </c>
      <c r="AF163" s="206">
        <v>-0.024</v>
      </c>
      <c r="AG163" s="207"/>
      <c r="AH163" s="211">
        <v>1934.55</v>
      </c>
      <c r="AI163" s="206">
        <v>0.1393</v>
      </c>
    </row>
    <row r="164" ht="15.75" customHeight="1">
      <c r="B164" s="199">
        <v>44563.0</v>
      </c>
      <c r="C164" s="200">
        <v>17812.7</v>
      </c>
      <c r="D164" s="201">
        <f t="shared" si="1"/>
        <v>0.0264289892</v>
      </c>
      <c r="E164" s="81"/>
      <c r="F164" s="247">
        <v>560.37</v>
      </c>
      <c r="G164" s="201">
        <f t="shared" si="2"/>
        <v>0.03837601453</v>
      </c>
      <c r="Y164" s="205">
        <v>135.35</v>
      </c>
      <c r="Z164" s="206">
        <v>0.0305</v>
      </c>
      <c r="AA164" s="207"/>
      <c r="AB164" s="208">
        <v>155.81</v>
      </c>
      <c r="AC164" s="209">
        <v>0.0124</v>
      </c>
      <c r="AD164" s="207"/>
      <c r="AE164" s="210">
        <v>31.2</v>
      </c>
      <c r="AF164" s="206">
        <v>0.0</v>
      </c>
      <c r="AG164" s="207"/>
      <c r="AH164" s="211">
        <v>1697.95</v>
      </c>
      <c r="AI164" s="206">
        <v>0.1931</v>
      </c>
    </row>
    <row r="165" ht="15.75" customHeight="1">
      <c r="B165" s="199">
        <v>44556.0</v>
      </c>
      <c r="C165" s="200">
        <v>17354.05</v>
      </c>
      <c r="D165" s="201">
        <f t="shared" si="1"/>
        <v>0.02060133794</v>
      </c>
      <c r="E165" s="81"/>
      <c r="F165" s="247">
        <v>539.66</v>
      </c>
      <c r="G165" s="201">
        <f t="shared" si="2"/>
        <v>0.03778773485</v>
      </c>
      <c r="Y165" s="205">
        <v>131.35</v>
      </c>
      <c r="Z165" s="206">
        <v>0.0559</v>
      </c>
      <c r="AA165" s="207"/>
      <c r="AB165" s="208">
        <v>153.9</v>
      </c>
      <c r="AC165" s="209">
        <v>0.0039</v>
      </c>
      <c r="AD165" s="207"/>
      <c r="AE165" s="210">
        <v>31.2</v>
      </c>
      <c r="AF165" s="206">
        <v>0.0081</v>
      </c>
      <c r="AG165" s="207"/>
      <c r="AH165" s="211">
        <v>1423.1</v>
      </c>
      <c r="AI165" s="206">
        <v>0.0698</v>
      </c>
    </row>
    <row r="166" ht="15.75" customHeight="1">
      <c r="B166" s="199">
        <v>44549.0</v>
      </c>
      <c r="C166" s="200">
        <v>17003.75</v>
      </c>
      <c r="D166" s="201">
        <f t="shared" si="1"/>
        <v>0.001092127264</v>
      </c>
      <c r="E166" s="81"/>
      <c r="F166" s="247">
        <v>520.01</v>
      </c>
      <c r="G166" s="201">
        <f t="shared" si="2"/>
        <v>-0.02029089265</v>
      </c>
      <c r="Y166" s="205">
        <v>124.4</v>
      </c>
      <c r="Z166" s="206">
        <v>0.026</v>
      </c>
      <c r="AA166" s="207"/>
      <c r="AB166" s="208">
        <v>153.3</v>
      </c>
      <c r="AC166" s="209">
        <v>-0.0049</v>
      </c>
      <c r="AD166" s="207"/>
      <c r="AE166" s="210">
        <v>30.95</v>
      </c>
      <c r="AF166" s="206">
        <v>0.0198</v>
      </c>
      <c r="AG166" s="207"/>
      <c r="AH166" s="211">
        <v>1330.25</v>
      </c>
      <c r="AI166" s="206">
        <v>-0.0398</v>
      </c>
    </row>
    <row r="167" ht="15.75" customHeight="1">
      <c r="B167" s="199">
        <v>44542.0</v>
      </c>
      <c r="C167" s="200">
        <v>16985.2</v>
      </c>
      <c r="D167" s="201">
        <f t="shared" si="1"/>
        <v>-0.03004345765</v>
      </c>
      <c r="E167" s="81"/>
      <c r="F167" s="247">
        <v>530.78</v>
      </c>
      <c r="G167" s="201">
        <f t="shared" si="2"/>
        <v>-0.06081571264</v>
      </c>
      <c r="Y167" s="205">
        <v>121.25</v>
      </c>
      <c r="Z167" s="206">
        <v>-0.0342</v>
      </c>
      <c r="AA167" s="207"/>
      <c r="AB167" s="208">
        <v>154.05</v>
      </c>
      <c r="AC167" s="209">
        <v>-0.0073</v>
      </c>
      <c r="AD167" s="207"/>
      <c r="AE167" s="210">
        <v>30.35</v>
      </c>
      <c r="AF167" s="206">
        <v>-0.0334</v>
      </c>
      <c r="AG167" s="207"/>
      <c r="AH167" s="211">
        <v>1385.4</v>
      </c>
      <c r="AI167" s="206">
        <v>-0.0197</v>
      </c>
    </row>
    <row r="168" ht="15.75" customHeight="1">
      <c r="B168" s="199">
        <v>44535.0</v>
      </c>
      <c r="C168" s="200">
        <v>17511.3</v>
      </c>
      <c r="D168" s="201">
        <f t="shared" si="1"/>
        <v>0.01829420761</v>
      </c>
      <c r="E168" s="81"/>
      <c r="F168" s="247">
        <v>565.15</v>
      </c>
      <c r="G168" s="201">
        <f t="shared" si="2"/>
        <v>0.02547585781</v>
      </c>
      <c r="Y168" s="205">
        <v>125.55</v>
      </c>
      <c r="Z168" s="206">
        <v>-0.0048</v>
      </c>
      <c r="AA168" s="207"/>
      <c r="AB168" s="208">
        <v>155.18</v>
      </c>
      <c r="AC168" s="209">
        <v>0.036</v>
      </c>
      <c r="AD168" s="207"/>
      <c r="AE168" s="210">
        <v>31.4</v>
      </c>
      <c r="AF168" s="206">
        <v>-0.0218</v>
      </c>
      <c r="AG168" s="207"/>
      <c r="AH168" s="211">
        <v>1413.25</v>
      </c>
      <c r="AI168" s="206">
        <v>0.0175</v>
      </c>
    </row>
    <row r="169" ht="15.75" customHeight="1">
      <c r="B169" s="199">
        <v>44528.0</v>
      </c>
      <c r="C169" s="200">
        <v>17196.7</v>
      </c>
      <c r="D169" s="201">
        <f t="shared" si="1"/>
        <v>0.009999148384</v>
      </c>
      <c r="E169" s="81"/>
      <c r="F169" s="247">
        <v>551.11</v>
      </c>
      <c r="G169" s="201">
        <f t="shared" si="2"/>
        <v>0.0505537658</v>
      </c>
      <c r="Y169" s="205">
        <v>126.15</v>
      </c>
      <c r="Z169" s="206">
        <v>-0.0067</v>
      </c>
      <c r="AA169" s="207"/>
      <c r="AB169" s="208">
        <v>149.78</v>
      </c>
      <c r="AC169" s="209">
        <v>-0.0167</v>
      </c>
      <c r="AD169" s="207"/>
      <c r="AE169" s="210">
        <v>32.1</v>
      </c>
      <c r="AF169" s="206">
        <v>-0.0138</v>
      </c>
      <c r="AG169" s="207"/>
      <c r="AH169" s="211">
        <v>1388.9</v>
      </c>
      <c r="AI169" s="206">
        <v>-5.0E-4</v>
      </c>
    </row>
    <row r="170" ht="15.75" customHeight="1">
      <c r="B170" s="199">
        <v>44521.0</v>
      </c>
      <c r="C170" s="200">
        <v>17026.45</v>
      </c>
      <c r="D170" s="201">
        <f t="shared" si="1"/>
        <v>-0.04156252815</v>
      </c>
      <c r="E170" s="81"/>
      <c r="F170" s="247">
        <v>524.59</v>
      </c>
      <c r="G170" s="201">
        <f t="shared" si="2"/>
        <v>0.02193520737</v>
      </c>
      <c r="Y170" s="205">
        <v>127.0</v>
      </c>
      <c r="Z170" s="206">
        <v>-0.0144</v>
      </c>
      <c r="AA170" s="207"/>
      <c r="AB170" s="208">
        <v>152.33</v>
      </c>
      <c r="AC170" s="209">
        <v>0.0203</v>
      </c>
      <c r="AD170" s="207"/>
      <c r="AE170" s="210">
        <v>32.55</v>
      </c>
      <c r="AF170" s="206">
        <v>0.062</v>
      </c>
      <c r="AG170" s="207"/>
      <c r="AH170" s="211">
        <v>1389.65</v>
      </c>
      <c r="AI170" s="206">
        <v>0.0125</v>
      </c>
    </row>
    <row r="171" ht="15.75" customHeight="1">
      <c r="B171" s="199">
        <v>44514.0</v>
      </c>
      <c r="C171" s="200">
        <v>17764.8</v>
      </c>
      <c r="D171" s="201">
        <f t="shared" si="1"/>
        <v>-0.01866843435</v>
      </c>
      <c r="E171" s="81"/>
      <c r="F171" s="247">
        <v>513.33</v>
      </c>
      <c r="G171" s="201">
        <f t="shared" si="2"/>
        <v>-0.02364196592</v>
      </c>
      <c r="Y171" s="205">
        <v>128.85</v>
      </c>
      <c r="Z171" s="206">
        <v>-0.0477</v>
      </c>
      <c r="AA171" s="207"/>
      <c r="AB171" s="208">
        <v>149.3</v>
      </c>
      <c r="AC171" s="209">
        <v>0.0494</v>
      </c>
      <c r="AD171" s="207"/>
      <c r="AE171" s="210">
        <v>30.65</v>
      </c>
      <c r="AF171" s="206">
        <v>-0.0598</v>
      </c>
      <c r="AG171" s="207"/>
      <c r="AH171" s="211">
        <v>1372.55</v>
      </c>
      <c r="AI171" s="206">
        <v>0.0199</v>
      </c>
    </row>
    <row r="172" ht="15.75" customHeight="1">
      <c r="B172" s="199">
        <v>44507.0</v>
      </c>
      <c r="C172" s="200">
        <v>18102.75</v>
      </c>
      <c r="D172" s="201">
        <f t="shared" si="1"/>
        <v>0.01037852742</v>
      </c>
      <c r="E172" s="81"/>
      <c r="F172" s="247">
        <v>525.76</v>
      </c>
      <c r="G172" s="201">
        <f t="shared" si="2"/>
        <v>0.04605956905</v>
      </c>
      <c r="Y172" s="205">
        <v>135.3</v>
      </c>
      <c r="Z172" s="206">
        <v>-0.0084</v>
      </c>
      <c r="AA172" s="207"/>
      <c r="AB172" s="208">
        <v>142.28</v>
      </c>
      <c r="AC172" s="209">
        <v>0.0577</v>
      </c>
      <c r="AD172" s="207"/>
      <c r="AE172" s="210">
        <v>32.6</v>
      </c>
      <c r="AF172" s="206">
        <v>0.0093</v>
      </c>
      <c r="AG172" s="207"/>
      <c r="AH172" s="211">
        <v>1345.75</v>
      </c>
      <c r="AI172" s="206">
        <v>0.0414</v>
      </c>
    </row>
    <row r="173" ht="15.75" customHeight="1">
      <c r="B173" s="199">
        <v>44500.0</v>
      </c>
      <c r="C173" s="200">
        <v>17916.8</v>
      </c>
      <c r="D173" s="201">
        <f t="shared" si="1"/>
        <v>0.013872502</v>
      </c>
      <c r="E173" s="81"/>
      <c r="F173" s="247">
        <v>502.61</v>
      </c>
      <c r="G173" s="201">
        <f t="shared" si="2"/>
        <v>0.03120640131</v>
      </c>
      <c r="Y173" s="205">
        <v>136.45</v>
      </c>
      <c r="Z173" s="206">
        <v>-0.0051</v>
      </c>
      <c r="AA173" s="207"/>
      <c r="AB173" s="208">
        <v>134.52</v>
      </c>
      <c r="AC173" s="209">
        <v>-0.0165</v>
      </c>
      <c r="AD173" s="207"/>
      <c r="AE173" s="210">
        <v>32.3</v>
      </c>
      <c r="AF173" s="206">
        <v>0.0436</v>
      </c>
      <c r="AG173" s="207"/>
      <c r="AH173" s="211">
        <v>1292.3</v>
      </c>
      <c r="AI173" s="206">
        <v>0.0766</v>
      </c>
    </row>
    <row r="174" ht="15.75" customHeight="1">
      <c r="B174" s="199">
        <v>44493.0</v>
      </c>
      <c r="C174" s="200">
        <v>17671.65</v>
      </c>
      <c r="D174" s="201">
        <f t="shared" si="1"/>
        <v>-0.02446880745</v>
      </c>
      <c r="E174" s="81"/>
      <c r="F174" s="247">
        <v>487.4</v>
      </c>
      <c r="G174" s="201">
        <f t="shared" si="2"/>
        <v>0.005736453304</v>
      </c>
      <c r="Y174" s="205">
        <v>137.15</v>
      </c>
      <c r="Z174" s="206">
        <v>0.0339</v>
      </c>
      <c r="AA174" s="207"/>
      <c r="AB174" s="208">
        <v>136.77</v>
      </c>
      <c r="AC174" s="209">
        <v>0.0</v>
      </c>
      <c r="AD174" s="207"/>
      <c r="AE174" s="210">
        <v>30.95</v>
      </c>
      <c r="AF174" s="206">
        <v>0.0081</v>
      </c>
      <c r="AG174" s="207"/>
      <c r="AH174" s="211">
        <v>1200.4</v>
      </c>
      <c r="AI174" s="206">
        <v>0.0412</v>
      </c>
    </row>
    <row r="175" ht="15.75" customHeight="1">
      <c r="B175" s="199">
        <v>44486.0</v>
      </c>
      <c r="C175" s="200">
        <v>18114.9</v>
      </c>
      <c r="D175" s="201">
        <f t="shared" si="1"/>
        <v>-0.0121956207</v>
      </c>
      <c r="E175" s="81"/>
      <c r="F175" s="247">
        <v>484.62</v>
      </c>
      <c r="G175" s="201">
        <f t="shared" si="2"/>
        <v>-0.03550531386</v>
      </c>
      <c r="Y175" s="205">
        <v>132.65</v>
      </c>
      <c r="Z175" s="206">
        <v>-0.0845</v>
      </c>
      <c r="AA175" s="207"/>
      <c r="AB175" s="208">
        <v>136.77</v>
      </c>
      <c r="AC175" s="209">
        <v>-0.0483</v>
      </c>
      <c r="AD175" s="207"/>
      <c r="AE175" s="210">
        <v>30.7</v>
      </c>
      <c r="AF175" s="206">
        <v>-0.0525</v>
      </c>
      <c r="AG175" s="207"/>
      <c r="AH175" s="211">
        <v>1152.85</v>
      </c>
      <c r="AI175" s="206">
        <v>-0.041</v>
      </c>
    </row>
    <row r="176" ht="15.75" customHeight="1">
      <c r="B176" s="199">
        <v>44479.0</v>
      </c>
      <c r="C176" s="200">
        <v>18338.55</v>
      </c>
      <c r="D176" s="201">
        <f t="shared" si="1"/>
        <v>0.02477479995</v>
      </c>
      <c r="E176" s="81"/>
      <c r="F176" s="247">
        <v>502.46</v>
      </c>
      <c r="G176" s="201">
        <f t="shared" si="2"/>
        <v>0.0226111733</v>
      </c>
      <c r="Y176" s="205">
        <v>144.9</v>
      </c>
      <c r="Z176" s="206">
        <v>-0.0301</v>
      </c>
      <c r="AA176" s="207"/>
      <c r="AB176" s="208">
        <v>143.72</v>
      </c>
      <c r="AC176" s="209">
        <v>-0.0498</v>
      </c>
      <c r="AD176" s="207"/>
      <c r="AE176" s="210">
        <v>32.4</v>
      </c>
      <c r="AF176" s="206">
        <v>0.0485</v>
      </c>
      <c r="AG176" s="207"/>
      <c r="AH176" s="211">
        <v>1202.15</v>
      </c>
      <c r="AI176" s="206">
        <v>-0.0036</v>
      </c>
    </row>
    <row r="177" ht="15.75" customHeight="1">
      <c r="B177" s="199">
        <v>44472.0</v>
      </c>
      <c r="C177" s="200">
        <v>17895.2</v>
      </c>
      <c r="D177" s="201">
        <f t="shared" si="1"/>
        <v>0.02071349329</v>
      </c>
      <c r="E177" s="81"/>
      <c r="F177" s="247">
        <v>491.35</v>
      </c>
      <c r="G177" s="201">
        <f t="shared" si="2"/>
        <v>0.005175729307</v>
      </c>
      <c r="Y177" s="205">
        <v>149.4</v>
      </c>
      <c r="Z177" s="206">
        <v>0.0588</v>
      </c>
      <c r="AA177" s="207"/>
      <c r="AB177" s="208">
        <v>151.26</v>
      </c>
      <c r="AC177" s="209">
        <v>0.0903</v>
      </c>
      <c r="AD177" s="207"/>
      <c r="AE177" s="210">
        <v>30.9</v>
      </c>
      <c r="AF177" s="206">
        <v>0.0098</v>
      </c>
      <c r="AG177" s="207"/>
      <c r="AH177" s="211">
        <v>1206.55</v>
      </c>
      <c r="AI177" s="206">
        <v>0.0255</v>
      </c>
    </row>
    <row r="178" ht="15.75" customHeight="1">
      <c r="B178" s="199">
        <v>44465.0</v>
      </c>
      <c r="C178" s="200">
        <v>17532.05</v>
      </c>
      <c r="D178" s="201">
        <f t="shared" si="1"/>
        <v>-0.01798837183</v>
      </c>
      <c r="E178" s="81"/>
      <c r="F178" s="247">
        <v>488.82</v>
      </c>
      <c r="G178" s="201">
        <f t="shared" si="2"/>
        <v>0.005719693852</v>
      </c>
      <c r="Y178" s="205">
        <v>141.1</v>
      </c>
      <c r="Z178" s="206">
        <v>0.0086</v>
      </c>
      <c r="AA178" s="207"/>
      <c r="AB178" s="208">
        <v>138.73</v>
      </c>
      <c r="AC178" s="209">
        <v>-0.0216</v>
      </c>
      <c r="AD178" s="207"/>
      <c r="AE178" s="210">
        <v>30.6</v>
      </c>
      <c r="AF178" s="206">
        <v>0.0515</v>
      </c>
      <c r="AG178" s="207"/>
      <c r="AH178" s="211">
        <v>1176.55</v>
      </c>
      <c r="AI178" s="206">
        <v>0.0222</v>
      </c>
    </row>
    <row r="179" ht="15.75" customHeight="1">
      <c r="B179" s="199">
        <v>44458.0</v>
      </c>
      <c r="C179" s="200">
        <v>17853.2</v>
      </c>
      <c r="D179" s="201">
        <f t="shared" si="1"/>
        <v>0.0152429749</v>
      </c>
      <c r="E179" s="81"/>
      <c r="F179" s="247">
        <v>486.04</v>
      </c>
      <c r="G179" s="201">
        <f t="shared" si="2"/>
        <v>0.03456790123</v>
      </c>
      <c r="Y179" s="205">
        <v>139.9</v>
      </c>
      <c r="Z179" s="206">
        <v>0.126</v>
      </c>
      <c r="AA179" s="207"/>
      <c r="AB179" s="208">
        <v>141.8</v>
      </c>
      <c r="AC179" s="209">
        <v>0.0891</v>
      </c>
      <c r="AD179" s="207"/>
      <c r="AE179" s="210">
        <v>29.1</v>
      </c>
      <c r="AF179" s="206">
        <v>0.0411</v>
      </c>
      <c r="AG179" s="207"/>
      <c r="AH179" s="211">
        <v>1151.05</v>
      </c>
      <c r="AI179" s="206">
        <v>-7.0E-4</v>
      </c>
    </row>
    <row r="180" ht="15.75" customHeight="1">
      <c r="B180" s="199">
        <v>44451.0</v>
      </c>
      <c r="C180" s="200">
        <v>17585.15</v>
      </c>
      <c r="D180" s="201">
        <f t="shared" si="1"/>
        <v>0.01243001281</v>
      </c>
      <c r="E180" s="81"/>
      <c r="F180" s="247">
        <v>469.8</v>
      </c>
      <c r="G180" s="201">
        <f t="shared" si="2"/>
        <v>0.009302425505</v>
      </c>
      <c r="Y180" s="205">
        <v>124.25</v>
      </c>
      <c r="Z180" s="206">
        <v>0.004</v>
      </c>
      <c r="AA180" s="207"/>
      <c r="AB180" s="208">
        <v>130.19</v>
      </c>
      <c r="AC180" s="209">
        <v>-0.0148</v>
      </c>
      <c r="AD180" s="207"/>
      <c r="AE180" s="210">
        <v>27.95</v>
      </c>
      <c r="AF180" s="206">
        <v>0.009</v>
      </c>
      <c r="AG180" s="207"/>
      <c r="AH180" s="211">
        <v>1151.8</v>
      </c>
      <c r="AI180" s="206">
        <v>-0.0013</v>
      </c>
    </row>
    <row r="181" ht="15.75" customHeight="1">
      <c r="B181" s="199">
        <v>44444.0</v>
      </c>
      <c r="C181" s="200">
        <v>17369.25</v>
      </c>
      <c r="D181" s="201">
        <f t="shared" si="1"/>
        <v>0.002635133575</v>
      </c>
      <c r="E181" s="81"/>
      <c r="F181" s="247">
        <v>465.47</v>
      </c>
      <c r="G181" s="201">
        <f t="shared" si="2"/>
        <v>-0.01809935661</v>
      </c>
      <c r="Y181" s="205">
        <v>123.75</v>
      </c>
      <c r="Z181" s="206">
        <v>0.0803</v>
      </c>
      <c r="AA181" s="207"/>
      <c r="AB181" s="208">
        <v>132.15</v>
      </c>
      <c r="AC181" s="209">
        <v>0.0305</v>
      </c>
      <c r="AD181" s="207"/>
      <c r="AE181" s="210">
        <v>27.7</v>
      </c>
      <c r="AF181" s="206">
        <v>0.0109</v>
      </c>
      <c r="AG181" s="207"/>
      <c r="AH181" s="211">
        <v>1153.25</v>
      </c>
      <c r="AI181" s="206">
        <v>-0.0516</v>
      </c>
    </row>
    <row r="182" ht="15.75" customHeight="1">
      <c r="B182" s="199">
        <v>44437.0</v>
      </c>
      <c r="C182" s="200">
        <v>17323.6</v>
      </c>
      <c r="D182" s="201">
        <f t="shared" si="1"/>
        <v>0.03701841343</v>
      </c>
      <c r="E182" s="81"/>
      <c r="F182" s="247">
        <v>474.05</v>
      </c>
      <c r="G182" s="201">
        <f t="shared" si="2"/>
        <v>-0.003887371296</v>
      </c>
      <c r="Y182" s="205">
        <v>114.55</v>
      </c>
      <c r="Z182" s="206">
        <v>-0.0209</v>
      </c>
      <c r="AA182" s="207"/>
      <c r="AB182" s="208">
        <v>128.24</v>
      </c>
      <c r="AC182" s="209">
        <v>-0.0117</v>
      </c>
      <c r="AD182" s="207"/>
      <c r="AE182" s="210">
        <v>27.4</v>
      </c>
      <c r="AF182" s="206">
        <v>-0.0108</v>
      </c>
      <c r="AG182" s="207"/>
      <c r="AH182" s="211">
        <v>1215.95</v>
      </c>
      <c r="AI182" s="206">
        <v>0.1245</v>
      </c>
    </row>
    <row r="183" ht="15.75" customHeight="1">
      <c r="B183" s="199">
        <v>44430.0</v>
      </c>
      <c r="C183" s="200">
        <v>16705.2</v>
      </c>
      <c r="D183" s="201">
        <f t="shared" si="1"/>
        <v>0.01548281207</v>
      </c>
      <c r="E183" s="81"/>
      <c r="F183" s="247">
        <v>475.9</v>
      </c>
      <c r="G183" s="201">
        <f t="shared" si="2"/>
        <v>0.07735494533</v>
      </c>
      <c r="Y183" s="205">
        <v>117.0</v>
      </c>
      <c r="Z183" s="206">
        <v>0.0317</v>
      </c>
      <c r="AA183" s="207"/>
      <c r="AB183" s="208">
        <v>129.75</v>
      </c>
      <c r="AC183" s="209">
        <v>0.0069</v>
      </c>
      <c r="AD183" s="207"/>
      <c r="AE183" s="210">
        <v>27.7</v>
      </c>
      <c r="AF183" s="206">
        <v>0.0453</v>
      </c>
      <c r="AG183" s="207"/>
      <c r="AH183" s="211">
        <v>1081.35</v>
      </c>
      <c r="AI183" s="206">
        <v>0.0307</v>
      </c>
    </row>
    <row r="184" ht="15.75" customHeight="1">
      <c r="B184" s="199">
        <v>44423.0</v>
      </c>
      <c r="C184" s="200">
        <v>16450.5</v>
      </c>
      <c r="D184" s="201">
        <f t="shared" si="1"/>
        <v>-0.004755249832</v>
      </c>
      <c r="E184" s="81"/>
      <c r="F184" s="247">
        <v>441.73</v>
      </c>
      <c r="G184" s="201">
        <f t="shared" si="2"/>
        <v>-0.02401679187</v>
      </c>
      <c r="Y184" s="205">
        <v>113.4</v>
      </c>
      <c r="Z184" s="206">
        <v>-0.0066</v>
      </c>
      <c r="AA184" s="207"/>
      <c r="AB184" s="208">
        <v>128.86</v>
      </c>
      <c r="AC184" s="209">
        <v>-0.0238</v>
      </c>
      <c r="AD184" s="207"/>
      <c r="AE184" s="210">
        <v>26.5</v>
      </c>
      <c r="AF184" s="206">
        <v>0.0095</v>
      </c>
      <c r="AG184" s="207"/>
      <c r="AH184" s="211">
        <v>1049.1</v>
      </c>
      <c r="AI184" s="206">
        <v>0.121</v>
      </c>
    </row>
    <row r="185" ht="15.75" customHeight="1">
      <c r="B185" s="199">
        <v>44416.0</v>
      </c>
      <c r="C185" s="200">
        <v>16529.1</v>
      </c>
      <c r="D185" s="201">
        <f t="shared" si="1"/>
        <v>0.01791454718</v>
      </c>
      <c r="E185" s="81"/>
      <c r="F185" s="247">
        <v>452.6</v>
      </c>
      <c r="G185" s="201">
        <f t="shared" si="2"/>
        <v>-0.02273659664</v>
      </c>
      <c r="Y185" s="205">
        <v>114.15</v>
      </c>
      <c r="Z185" s="206">
        <v>-0.0347</v>
      </c>
      <c r="AA185" s="207"/>
      <c r="AB185" s="208">
        <v>132.0</v>
      </c>
      <c r="AC185" s="209">
        <v>-0.0333</v>
      </c>
      <c r="AD185" s="207"/>
      <c r="AE185" s="210">
        <v>26.25</v>
      </c>
      <c r="AF185" s="206">
        <v>-0.0132</v>
      </c>
      <c r="AG185" s="207"/>
      <c r="AH185" s="210">
        <v>935.85</v>
      </c>
      <c r="AI185" s="206">
        <v>0.0182</v>
      </c>
    </row>
    <row r="186" ht="15.75" customHeight="1">
      <c r="B186" s="199">
        <v>44409.0</v>
      </c>
      <c r="C186" s="200">
        <v>16238.2</v>
      </c>
      <c r="D186" s="201">
        <f t="shared" si="1"/>
        <v>0.03014327811</v>
      </c>
      <c r="E186" s="81"/>
      <c r="F186" s="247">
        <v>463.13</v>
      </c>
      <c r="G186" s="201">
        <f t="shared" si="2"/>
        <v>0.04362620276</v>
      </c>
      <c r="Y186" s="205">
        <v>118.25</v>
      </c>
      <c r="Z186" s="206">
        <v>0.0051</v>
      </c>
      <c r="AA186" s="207"/>
      <c r="AB186" s="208">
        <v>136.55</v>
      </c>
      <c r="AC186" s="209">
        <v>0.0557</v>
      </c>
      <c r="AD186" s="207"/>
      <c r="AE186" s="210">
        <v>26.6</v>
      </c>
      <c r="AF186" s="206">
        <v>0.0231</v>
      </c>
      <c r="AG186" s="207"/>
      <c r="AH186" s="210">
        <v>919.1</v>
      </c>
      <c r="AI186" s="206">
        <v>0.0094</v>
      </c>
    </row>
    <row r="187" ht="15.75" customHeight="1">
      <c r="B187" s="199">
        <v>44402.0</v>
      </c>
      <c r="C187" s="200">
        <v>15763.05</v>
      </c>
      <c r="D187" s="201">
        <f t="shared" si="1"/>
        <v>-0.005865269093</v>
      </c>
      <c r="E187" s="81"/>
      <c r="F187" s="247">
        <v>443.77</v>
      </c>
      <c r="G187" s="201">
        <f t="shared" si="2"/>
        <v>-0.03856403146</v>
      </c>
      <c r="Y187" s="205">
        <v>117.65</v>
      </c>
      <c r="Z187" s="206">
        <v>-0.0047</v>
      </c>
      <c r="AA187" s="207"/>
      <c r="AB187" s="208">
        <v>129.34</v>
      </c>
      <c r="AC187" s="209">
        <v>0.0225</v>
      </c>
      <c r="AD187" s="207"/>
      <c r="AE187" s="210">
        <v>26.0</v>
      </c>
      <c r="AF187" s="206">
        <v>-0.0095</v>
      </c>
      <c r="AG187" s="207"/>
      <c r="AH187" s="210">
        <v>910.55</v>
      </c>
      <c r="AI187" s="206">
        <v>0.032</v>
      </c>
    </row>
    <row r="188" ht="15.75" customHeight="1">
      <c r="B188" s="199">
        <v>44395.0</v>
      </c>
      <c r="C188" s="200">
        <v>15856.05</v>
      </c>
      <c r="D188" s="201">
        <f t="shared" si="1"/>
        <v>-0.004229624326</v>
      </c>
      <c r="E188" s="81"/>
      <c r="F188" s="247">
        <v>461.57</v>
      </c>
      <c r="G188" s="201">
        <f t="shared" si="2"/>
        <v>-0.01466569892</v>
      </c>
      <c r="Y188" s="205">
        <v>118.2</v>
      </c>
      <c r="Z188" s="206">
        <v>-0.0025</v>
      </c>
      <c r="AA188" s="207"/>
      <c r="AB188" s="208">
        <v>126.5</v>
      </c>
      <c r="AC188" s="209">
        <v>-0.0206</v>
      </c>
      <c r="AD188" s="207"/>
      <c r="AE188" s="210">
        <v>26.25</v>
      </c>
      <c r="AF188" s="206">
        <v>0.0077</v>
      </c>
      <c r="AG188" s="207"/>
      <c r="AH188" s="210">
        <v>882.3</v>
      </c>
      <c r="AI188" s="206">
        <v>-0.0999</v>
      </c>
    </row>
    <row r="189" ht="15.75" customHeight="1">
      <c r="B189" s="199">
        <v>44388.0</v>
      </c>
      <c r="C189" s="200">
        <v>15923.4</v>
      </c>
      <c r="D189" s="201">
        <f t="shared" si="1"/>
        <v>0.01488865378</v>
      </c>
      <c r="E189" s="81"/>
      <c r="F189" s="247">
        <v>468.44</v>
      </c>
      <c r="G189" s="201">
        <f t="shared" si="2"/>
        <v>0.01115979882</v>
      </c>
      <c r="Y189" s="205">
        <v>118.5</v>
      </c>
      <c r="Z189" s="206">
        <v>-0.005</v>
      </c>
      <c r="AA189" s="207"/>
      <c r="AB189" s="208">
        <v>129.16</v>
      </c>
      <c r="AC189" s="209">
        <v>-0.0036</v>
      </c>
      <c r="AD189" s="207"/>
      <c r="AE189" s="210">
        <v>26.05</v>
      </c>
      <c r="AF189" s="206">
        <v>0.0058</v>
      </c>
      <c r="AG189" s="207"/>
      <c r="AH189" s="210">
        <v>980.25</v>
      </c>
      <c r="AI189" s="206">
        <v>-0.0282</v>
      </c>
    </row>
    <row r="190" ht="15.75" customHeight="1">
      <c r="B190" s="199">
        <v>44381.0</v>
      </c>
      <c r="C190" s="200">
        <v>15689.8</v>
      </c>
      <c r="D190" s="201">
        <f t="shared" si="1"/>
        <v>-0.002060780298</v>
      </c>
      <c r="E190" s="81"/>
      <c r="F190" s="247">
        <v>463.27</v>
      </c>
      <c r="G190" s="201">
        <f t="shared" si="2"/>
        <v>0.0226936577</v>
      </c>
      <c r="Y190" s="205">
        <v>119.1</v>
      </c>
      <c r="Z190" s="206">
        <v>0.011</v>
      </c>
      <c r="AA190" s="207"/>
      <c r="AB190" s="208">
        <v>129.63</v>
      </c>
      <c r="AC190" s="209">
        <v>0.0156</v>
      </c>
      <c r="AD190" s="207"/>
      <c r="AE190" s="210">
        <v>25.9</v>
      </c>
      <c r="AF190" s="206">
        <v>-0.0077</v>
      </c>
      <c r="AG190" s="207"/>
      <c r="AH190" s="211">
        <v>1008.65</v>
      </c>
      <c r="AI190" s="206">
        <v>-0.0105</v>
      </c>
    </row>
    <row r="191" ht="15.75" customHeight="1">
      <c r="B191" s="199">
        <v>44374.0</v>
      </c>
      <c r="C191" s="200">
        <v>15722.2</v>
      </c>
      <c r="D191" s="201">
        <f t="shared" si="1"/>
        <v>-0.008710400464</v>
      </c>
      <c r="E191" s="81"/>
      <c r="F191" s="247">
        <v>452.99</v>
      </c>
      <c r="G191" s="201">
        <f t="shared" si="2"/>
        <v>0.02800408487</v>
      </c>
      <c r="Y191" s="205">
        <v>117.8</v>
      </c>
      <c r="Z191" s="206">
        <v>0.0026</v>
      </c>
      <c r="AA191" s="207"/>
      <c r="AB191" s="208">
        <v>127.63</v>
      </c>
      <c r="AC191" s="209">
        <v>0.0101</v>
      </c>
      <c r="AD191" s="207"/>
      <c r="AE191" s="210">
        <v>26.1</v>
      </c>
      <c r="AF191" s="206">
        <v>-0.0057</v>
      </c>
      <c r="AG191" s="207"/>
      <c r="AH191" s="211">
        <v>1019.4</v>
      </c>
      <c r="AI191" s="206">
        <v>0.004</v>
      </c>
    </row>
    <row r="192" ht="15.75" customHeight="1">
      <c r="B192" s="199">
        <v>44367.0</v>
      </c>
      <c r="C192" s="200">
        <v>15860.35</v>
      </c>
      <c r="D192" s="201">
        <f t="shared" si="1"/>
        <v>0.01128585411</v>
      </c>
      <c r="E192" s="81"/>
      <c r="F192" s="247">
        <v>440.65</v>
      </c>
      <c r="G192" s="201">
        <f t="shared" si="2"/>
        <v>-0.007366192107</v>
      </c>
      <c r="Y192" s="205">
        <v>117.5</v>
      </c>
      <c r="Z192" s="206">
        <v>0.0125</v>
      </c>
      <c r="AA192" s="207"/>
      <c r="AB192" s="208">
        <v>126.36</v>
      </c>
      <c r="AC192" s="209">
        <v>-0.0126</v>
      </c>
      <c r="AD192" s="207"/>
      <c r="AE192" s="210">
        <v>26.25</v>
      </c>
      <c r="AF192" s="206">
        <v>-0.0132</v>
      </c>
      <c r="AG192" s="207"/>
      <c r="AH192" s="211">
        <v>1015.3</v>
      </c>
      <c r="AI192" s="206">
        <v>-0.1302</v>
      </c>
    </row>
    <row r="193" ht="15.75" customHeight="1">
      <c r="B193" s="199">
        <v>44360.0</v>
      </c>
      <c r="C193" s="200">
        <v>15683.35</v>
      </c>
      <c r="D193" s="201">
        <f t="shared" si="1"/>
        <v>-0.007342074199</v>
      </c>
      <c r="E193" s="81"/>
      <c r="F193" s="247">
        <v>443.92</v>
      </c>
      <c r="G193" s="201">
        <f t="shared" si="2"/>
        <v>-0.02002251705</v>
      </c>
      <c r="Y193" s="205">
        <v>116.05</v>
      </c>
      <c r="Z193" s="206">
        <v>0.022</v>
      </c>
      <c r="AA193" s="207"/>
      <c r="AB193" s="208">
        <v>127.97</v>
      </c>
      <c r="AC193" s="209">
        <v>-0.0092</v>
      </c>
      <c r="AD193" s="207"/>
      <c r="AE193" s="210">
        <v>26.6</v>
      </c>
      <c r="AF193" s="206">
        <v>0.0</v>
      </c>
      <c r="AG193" s="207"/>
      <c r="AH193" s="211">
        <v>1167.25</v>
      </c>
      <c r="AI193" s="206">
        <v>0.0934</v>
      </c>
    </row>
    <row r="194" ht="15.75" customHeight="1">
      <c r="B194" s="199">
        <v>44353.0</v>
      </c>
      <c r="C194" s="200">
        <v>15799.35</v>
      </c>
      <c r="D194" s="201">
        <f t="shared" si="1"/>
        <v>0.008238541185</v>
      </c>
      <c r="E194" s="81"/>
      <c r="F194" s="247">
        <v>452.99</v>
      </c>
      <c r="G194" s="201">
        <f t="shared" si="2"/>
        <v>0.07708585967</v>
      </c>
      <c r="Y194" s="205">
        <v>113.55</v>
      </c>
      <c r="Z194" s="206">
        <v>-0.0442</v>
      </c>
      <c r="AA194" s="207"/>
      <c r="AB194" s="208">
        <v>129.16</v>
      </c>
      <c r="AC194" s="209">
        <v>-0.054</v>
      </c>
      <c r="AD194" s="207"/>
      <c r="AE194" s="210">
        <v>26.6</v>
      </c>
      <c r="AF194" s="206">
        <v>-0.0093</v>
      </c>
      <c r="AG194" s="207"/>
      <c r="AH194" s="211">
        <v>1067.55</v>
      </c>
      <c r="AI194" s="206">
        <v>-0.1233</v>
      </c>
    </row>
    <row r="195" ht="15.75" customHeight="1">
      <c r="B195" s="199">
        <v>44346.0</v>
      </c>
      <c r="C195" s="200">
        <v>15670.25</v>
      </c>
      <c r="D195" s="201">
        <f t="shared" si="1"/>
        <v>0.0151985825</v>
      </c>
      <c r="E195" s="81"/>
      <c r="F195" s="247">
        <v>420.57</v>
      </c>
      <c r="G195" s="201">
        <f t="shared" si="2"/>
        <v>0.004994264959</v>
      </c>
      <c r="Y195" s="205">
        <v>118.8</v>
      </c>
      <c r="Z195" s="206">
        <v>0.0631</v>
      </c>
      <c r="AA195" s="207"/>
      <c r="AB195" s="208">
        <v>136.53</v>
      </c>
      <c r="AC195" s="209">
        <v>0.0891</v>
      </c>
      <c r="AD195" s="207"/>
      <c r="AE195" s="210">
        <v>26.85</v>
      </c>
      <c r="AF195" s="206">
        <v>0.0287</v>
      </c>
      <c r="AG195" s="207"/>
      <c r="AH195" s="211">
        <v>1217.7</v>
      </c>
      <c r="AI195" s="206">
        <v>-0.0466</v>
      </c>
    </row>
    <row r="196" ht="15.75" customHeight="1">
      <c r="B196" s="199">
        <v>44339.0</v>
      </c>
      <c r="C196" s="200">
        <v>15435.65</v>
      </c>
      <c r="D196" s="201">
        <f t="shared" si="1"/>
        <v>0.01715616825</v>
      </c>
      <c r="E196" s="81"/>
      <c r="F196" s="247">
        <v>418.48</v>
      </c>
      <c r="G196" s="201">
        <f t="shared" si="2"/>
        <v>-0.04737189556</v>
      </c>
      <c r="Y196" s="205">
        <v>111.75</v>
      </c>
      <c r="Z196" s="206">
        <v>0.0257</v>
      </c>
      <c r="AA196" s="207"/>
      <c r="AB196" s="208">
        <v>125.36</v>
      </c>
      <c r="AC196" s="209">
        <v>0.0031</v>
      </c>
      <c r="AD196" s="207"/>
      <c r="AE196" s="210">
        <v>26.1</v>
      </c>
      <c r="AF196" s="206">
        <v>0.0058</v>
      </c>
      <c r="AG196" s="207"/>
      <c r="AH196" s="211">
        <v>1277.25</v>
      </c>
      <c r="AI196" s="206">
        <v>0.0309</v>
      </c>
    </row>
    <row r="197" ht="15.75" customHeight="1">
      <c r="B197" s="199">
        <v>44332.0</v>
      </c>
      <c r="C197" s="200">
        <v>15175.3</v>
      </c>
      <c r="D197" s="201">
        <f t="shared" si="1"/>
        <v>0.03389472537</v>
      </c>
      <c r="E197" s="81"/>
      <c r="F197" s="247">
        <v>439.29</v>
      </c>
      <c r="G197" s="201">
        <f t="shared" si="2"/>
        <v>0.05206562088</v>
      </c>
      <c r="Y197" s="205">
        <v>108.95</v>
      </c>
      <c r="Z197" s="206">
        <v>-0.0346</v>
      </c>
      <c r="AA197" s="207"/>
      <c r="AB197" s="208">
        <v>124.97</v>
      </c>
      <c r="AC197" s="209">
        <v>-0.011</v>
      </c>
      <c r="AD197" s="207"/>
      <c r="AE197" s="210">
        <v>25.95</v>
      </c>
      <c r="AF197" s="206">
        <v>0.0137</v>
      </c>
      <c r="AG197" s="207"/>
      <c r="AH197" s="211">
        <v>1238.95</v>
      </c>
      <c r="AI197" s="206">
        <v>-0.0464</v>
      </c>
    </row>
    <row r="198" ht="15.75" customHeight="1">
      <c r="B198" s="199">
        <v>44325.0</v>
      </c>
      <c r="C198" s="200">
        <v>14677.8</v>
      </c>
      <c r="D198" s="201">
        <f t="shared" si="1"/>
        <v>-0.00980560812</v>
      </c>
      <c r="E198" s="81"/>
      <c r="F198" s="247">
        <v>417.55</v>
      </c>
      <c r="G198" s="201">
        <f t="shared" si="2"/>
        <v>0.02943714405</v>
      </c>
      <c r="Y198" s="205">
        <v>112.85</v>
      </c>
      <c r="Z198" s="206">
        <v>0.013</v>
      </c>
      <c r="AA198" s="207"/>
      <c r="AB198" s="208">
        <v>126.36</v>
      </c>
      <c r="AC198" s="209">
        <v>-0.0039</v>
      </c>
      <c r="AD198" s="207"/>
      <c r="AE198" s="210">
        <v>25.6</v>
      </c>
      <c r="AF198" s="206">
        <v>-0.0097</v>
      </c>
      <c r="AG198" s="207"/>
      <c r="AH198" s="211">
        <v>1299.2</v>
      </c>
      <c r="AI198" s="206">
        <v>0.1941</v>
      </c>
    </row>
    <row r="199" ht="15.75" customHeight="1">
      <c r="B199" s="199">
        <v>44318.0</v>
      </c>
      <c r="C199" s="200">
        <v>14823.15</v>
      </c>
      <c r="D199" s="201">
        <f t="shared" si="1"/>
        <v>0.01312614909</v>
      </c>
      <c r="E199" s="81"/>
      <c r="F199" s="247">
        <v>405.61</v>
      </c>
      <c r="G199" s="201">
        <f t="shared" si="2"/>
        <v>0.04985117122</v>
      </c>
      <c r="Y199" s="205">
        <v>111.4</v>
      </c>
      <c r="Z199" s="206">
        <v>0.0604</v>
      </c>
      <c r="AA199" s="207"/>
      <c r="AB199" s="208">
        <v>126.86</v>
      </c>
      <c r="AC199" s="209">
        <v>0.0667</v>
      </c>
      <c r="AD199" s="207"/>
      <c r="AE199" s="210">
        <v>25.85</v>
      </c>
      <c r="AF199" s="206">
        <v>0.0594</v>
      </c>
      <c r="AG199" s="207"/>
      <c r="AH199" s="211">
        <v>1088.05</v>
      </c>
      <c r="AI199" s="206">
        <v>-0.0135</v>
      </c>
    </row>
    <row r="200" ht="15.75" customHeight="1">
      <c r="B200" s="199">
        <v>44311.0</v>
      </c>
      <c r="C200" s="200">
        <v>14631.1</v>
      </c>
      <c r="D200" s="201">
        <f t="shared" si="1"/>
        <v>0.02020381624</v>
      </c>
      <c r="E200" s="81"/>
      <c r="F200" s="247">
        <v>386.35</v>
      </c>
      <c r="G200" s="201">
        <f t="shared" si="2"/>
        <v>0.005831662805</v>
      </c>
      <c r="Y200" s="205">
        <v>105.05</v>
      </c>
      <c r="Z200" s="206">
        <v>0.0254</v>
      </c>
      <c r="AA200" s="207"/>
      <c r="AB200" s="208">
        <v>118.93</v>
      </c>
      <c r="AC200" s="209">
        <v>-0.025</v>
      </c>
      <c r="AD200" s="207"/>
      <c r="AE200" s="210">
        <v>24.4</v>
      </c>
      <c r="AF200" s="206">
        <v>0.0062</v>
      </c>
      <c r="AG200" s="207"/>
      <c r="AH200" s="211">
        <v>1102.9</v>
      </c>
      <c r="AI200" s="206">
        <v>0.0824</v>
      </c>
    </row>
    <row r="201" ht="15.75" customHeight="1">
      <c r="B201" s="199">
        <v>44304.0</v>
      </c>
      <c r="C201" s="200">
        <v>14341.35</v>
      </c>
      <c r="D201" s="201">
        <f t="shared" si="1"/>
        <v>-0.01891523035</v>
      </c>
      <c r="E201" s="81"/>
      <c r="F201" s="247">
        <v>384.11</v>
      </c>
      <c r="G201" s="201">
        <f t="shared" si="2"/>
        <v>-0.03596526453</v>
      </c>
      <c r="Y201" s="205">
        <v>102.45</v>
      </c>
      <c r="Z201" s="206">
        <v>-0.001</v>
      </c>
      <c r="AA201" s="207"/>
      <c r="AB201" s="208">
        <v>121.98</v>
      </c>
      <c r="AC201" s="209">
        <v>0.0421</v>
      </c>
      <c r="AD201" s="207"/>
      <c r="AE201" s="210">
        <v>24.25</v>
      </c>
      <c r="AF201" s="206">
        <v>-0.0061</v>
      </c>
      <c r="AG201" s="207"/>
      <c r="AH201" s="211">
        <v>1018.95</v>
      </c>
      <c r="AI201" s="206">
        <v>-0.0318</v>
      </c>
    </row>
    <row r="202" ht="15.75" customHeight="1">
      <c r="B202" s="199">
        <v>44297.0</v>
      </c>
      <c r="C202" s="200">
        <v>14617.85</v>
      </c>
      <c r="D202" s="201">
        <f t="shared" si="1"/>
        <v>-0.01462771784</v>
      </c>
      <c r="E202" s="81"/>
      <c r="F202" s="247">
        <v>398.44</v>
      </c>
      <c r="G202" s="201">
        <f t="shared" si="2"/>
        <v>-0.03244293346</v>
      </c>
      <c r="Y202" s="205">
        <v>102.55</v>
      </c>
      <c r="Z202" s="206">
        <v>0.001</v>
      </c>
      <c r="AA202" s="207"/>
      <c r="AB202" s="208">
        <v>117.05</v>
      </c>
      <c r="AC202" s="209">
        <v>0.0062</v>
      </c>
      <c r="AD202" s="207"/>
      <c r="AE202" s="210">
        <v>24.4</v>
      </c>
      <c r="AF202" s="206">
        <v>0.0146</v>
      </c>
      <c r="AG202" s="207"/>
      <c r="AH202" s="211">
        <v>1052.4</v>
      </c>
      <c r="AI202" s="206">
        <v>-0.0507</v>
      </c>
    </row>
    <row r="203" ht="15.75" customHeight="1">
      <c r="B203" s="199">
        <v>44290.0</v>
      </c>
      <c r="C203" s="200">
        <v>14834.85</v>
      </c>
      <c r="D203" s="201">
        <f t="shared" si="1"/>
        <v>-0.002185998177</v>
      </c>
      <c r="E203" s="81"/>
      <c r="F203" s="247">
        <v>411.8</v>
      </c>
      <c r="G203" s="201">
        <f t="shared" si="2"/>
        <v>-0.01204356797</v>
      </c>
      <c r="Y203" s="205">
        <v>102.45</v>
      </c>
      <c r="Z203" s="206">
        <v>-0.0034</v>
      </c>
      <c r="AA203" s="207"/>
      <c r="AB203" s="208">
        <v>116.33</v>
      </c>
      <c r="AC203" s="209">
        <v>0.0074</v>
      </c>
      <c r="AD203" s="207"/>
      <c r="AE203" s="210">
        <v>24.05</v>
      </c>
      <c r="AF203" s="206">
        <v>-0.0082</v>
      </c>
      <c r="AG203" s="207"/>
      <c r="AH203" s="211">
        <v>1108.6</v>
      </c>
      <c r="AI203" s="206">
        <v>-0.0299</v>
      </c>
    </row>
    <row r="204" ht="15.75" customHeight="1">
      <c r="B204" s="199">
        <v>44283.0</v>
      </c>
      <c r="C204" s="200">
        <v>14867.35</v>
      </c>
      <c r="D204" s="201">
        <f t="shared" si="1"/>
        <v>0.02481853963</v>
      </c>
      <c r="E204" s="81"/>
      <c r="F204" s="247">
        <v>416.82</v>
      </c>
      <c r="G204" s="201">
        <f t="shared" si="2"/>
        <v>0.02999901156</v>
      </c>
      <c r="Y204" s="205">
        <v>102.8</v>
      </c>
      <c r="Z204" s="206">
        <v>-0.0473</v>
      </c>
      <c r="AA204" s="207"/>
      <c r="AB204" s="208">
        <v>115.47</v>
      </c>
      <c r="AC204" s="209">
        <v>-0.0476</v>
      </c>
      <c r="AD204" s="207"/>
      <c r="AE204" s="210">
        <v>24.25</v>
      </c>
      <c r="AF204" s="206">
        <v>-0.0162</v>
      </c>
      <c r="AG204" s="207"/>
      <c r="AH204" s="211">
        <v>1142.75</v>
      </c>
      <c r="AI204" s="206">
        <v>-0.0149</v>
      </c>
    </row>
    <row r="205" ht="15.75" customHeight="1">
      <c r="B205" s="199">
        <v>44276.0</v>
      </c>
      <c r="C205" s="200">
        <v>14507.3</v>
      </c>
      <c r="D205" s="201">
        <f t="shared" si="1"/>
        <v>-0.01605398806</v>
      </c>
      <c r="E205" s="81"/>
      <c r="F205" s="247">
        <v>404.68</v>
      </c>
      <c r="G205" s="201">
        <f t="shared" si="2"/>
        <v>-0.02512587025</v>
      </c>
      <c r="Y205" s="205">
        <v>107.9</v>
      </c>
      <c r="Z205" s="206">
        <v>0.0355</v>
      </c>
      <c r="AA205" s="207"/>
      <c r="AB205" s="208">
        <v>121.23</v>
      </c>
      <c r="AC205" s="209">
        <v>0.0191</v>
      </c>
      <c r="AD205" s="207"/>
      <c r="AE205" s="210">
        <v>24.65</v>
      </c>
      <c r="AF205" s="206">
        <v>0.0602</v>
      </c>
      <c r="AG205" s="207"/>
      <c r="AH205" s="211">
        <v>1160.05</v>
      </c>
      <c r="AI205" s="206">
        <v>-0.0431</v>
      </c>
    </row>
    <row r="206" ht="15.75" customHeight="1">
      <c r="B206" s="199">
        <v>44269.0</v>
      </c>
      <c r="C206" s="200">
        <v>14744.0</v>
      </c>
      <c r="D206" s="201">
        <f t="shared" si="1"/>
        <v>-0.01909060971</v>
      </c>
      <c r="E206" s="81"/>
      <c r="F206" s="247">
        <v>415.11</v>
      </c>
      <c r="G206" s="201">
        <f t="shared" si="2"/>
        <v>0.03286887285</v>
      </c>
      <c r="Y206" s="205">
        <v>104.2</v>
      </c>
      <c r="Z206" s="206">
        <v>-0.0396</v>
      </c>
      <c r="AA206" s="207"/>
      <c r="AB206" s="208">
        <v>118.96</v>
      </c>
      <c r="AC206" s="209">
        <v>-0.0678</v>
      </c>
      <c r="AD206" s="207"/>
      <c r="AE206" s="210">
        <v>23.25</v>
      </c>
      <c r="AF206" s="206">
        <v>-0.0471</v>
      </c>
      <c r="AG206" s="207"/>
      <c r="AH206" s="211">
        <v>1212.35</v>
      </c>
      <c r="AI206" s="206">
        <v>0.0166</v>
      </c>
    </row>
    <row r="207" ht="15.75" customHeight="1">
      <c r="B207" s="199">
        <v>44262.0</v>
      </c>
      <c r="C207" s="200">
        <v>15030.95</v>
      </c>
      <c r="D207" s="201">
        <f t="shared" si="1"/>
        <v>0.006215649915</v>
      </c>
      <c r="E207" s="81"/>
      <c r="F207" s="247">
        <v>401.9</v>
      </c>
      <c r="G207" s="201">
        <f t="shared" si="2"/>
        <v>0.02155457272</v>
      </c>
      <c r="Y207" s="205">
        <v>108.5</v>
      </c>
      <c r="Z207" s="206">
        <v>-0.0055</v>
      </c>
      <c r="AA207" s="207"/>
      <c r="AB207" s="208">
        <v>127.61</v>
      </c>
      <c r="AC207" s="209">
        <v>0.0461</v>
      </c>
      <c r="AD207" s="207"/>
      <c r="AE207" s="210">
        <v>24.4</v>
      </c>
      <c r="AF207" s="206">
        <v>-0.0061</v>
      </c>
      <c r="AG207" s="207"/>
      <c r="AH207" s="211">
        <v>1192.6</v>
      </c>
      <c r="AI207" s="206">
        <v>0.0276</v>
      </c>
    </row>
    <row r="208" ht="15.75" customHeight="1">
      <c r="B208" s="199">
        <v>44255.0</v>
      </c>
      <c r="C208" s="200">
        <v>14938.1</v>
      </c>
      <c r="D208" s="201">
        <f t="shared" si="1"/>
        <v>0.02814686337</v>
      </c>
      <c r="E208" s="81"/>
      <c r="F208" s="247">
        <v>393.42</v>
      </c>
      <c r="G208" s="201">
        <f t="shared" si="2"/>
        <v>0.05695556391</v>
      </c>
      <c r="Y208" s="205">
        <v>109.1</v>
      </c>
      <c r="Z208" s="206">
        <v>0.0037</v>
      </c>
      <c r="AA208" s="207"/>
      <c r="AB208" s="208">
        <v>121.98</v>
      </c>
      <c r="AC208" s="209">
        <v>-9.0E-4</v>
      </c>
      <c r="AD208" s="207"/>
      <c r="AE208" s="210">
        <v>24.55</v>
      </c>
      <c r="AF208" s="206">
        <v>-0.0466</v>
      </c>
      <c r="AG208" s="207"/>
      <c r="AH208" s="211">
        <v>1160.6</v>
      </c>
      <c r="AI208" s="206">
        <v>-0.0104</v>
      </c>
    </row>
    <row r="209" ht="15.75" customHeight="1">
      <c r="B209" s="199">
        <v>44248.0</v>
      </c>
      <c r="C209" s="200">
        <v>14529.15</v>
      </c>
      <c r="D209" s="201">
        <f t="shared" si="1"/>
        <v>-0.03021008894</v>
      </c>
      <c r="E209" s="81"/>
      <c r="F209" s="247">
        <v>372.22</v>
      </c>
      <c r="G209" s="201">
        <f t="shared" si="2"/>
        <v>0.04488673048</v>
      </c>
      <c r="Y209" s="205">
        <v>108.7</v>
      </c>
      <c r="Z209" s="206">
        <v>0.013</v>
      </c>
      <c r="AA209" s="207"/>
      <c r="AB209" s="208">
        <v>122.09</v>
      </c>
      <c r="AC209" s="209">
        <v>0.0278</v>
      </c>
      <c r="AD209" s="207"/>
      <c r="AE209" s="210">
        <v>25.75</v>
      </c>
      <c r="AF209" s="206">
        <v>0.0663</v>
      </c>
      <c r="AG209" s="207"/>
      <c r="AH209" s="211">
        <v>1172.75</v>
      </c>
      <c r="AI209" s="206">
        <v>0.0111</v>
      </c>
    </row>
    <row r="210" ht="15.75" customHeight="1">
      <c r="B210" s="199">
        <v>44241.0</v>
      </c>
      <c r="C210" s="200">
        <v>14981.75</v>
      </c>
      <c r="D210" s="201">
        <f t="shared" si="1"/>
        <v>-0.01197298741</v>
      </c>
      <c r="E210" s="81"/>
      <c r="F210" s="247">
        <v>356.23</v>
      </c>
      <c r="G210" s="201">
        <f t="shared" si="2"/>
        <v>0.1094742743</v>
      </c>
      <c r="Y210" s="205">
        <v>107.3</v>
      </c>
      <c r="Z210" s="206">
        <v>0.0298</v>
      </c>
      <c r="AA210" s="207"/>
      <c r="AB210" s="208">
        <v>118.79</v>
      </c>
      <c r="AC210" s="209">
        <v>-0.0771</v>
      </c>
      <c r="AD210" s="207"/>
      <c r="AE210" s="210">
        <v>24.15</v>
      </c>
      <c r="AF210" s="206">
        <v>-0.0658</v>
      </c>
      <c r="AG210" s="207"/>
      <c r="AH210" s="211">
        <v>1159.85</v>
      </c>
      <c r="AI210" s="206">
        <v>0.0377</v>
      </c>
    </row>
    <row r="211" ht="15.75" customHeight="1">
      <c r="B211" s="199">
        <v>44234.0</v>
      </c>
      <c r="C211" s="200">
        <v>15163.3</v>
      </c>
      <c r="D211" s="248">
        <v>0.016</v>
      </c>
      <c r="E211" s="81"/>
      <c r="F211" s="247">
        <v>321.08</v>
      </c>
      <c r="G211" s="201">
        <v>0.0341</v>
      </c>
      <c r="Y211" s="205">
        <v>104.2</v>
      </c>
      <c r="Z211" s="206">
        <v>0.086</v>
      </c>
      <c r="AA211" s="207"/>
      <c r="AB211" s="208">
        <v>128.72</v>
      </c>
      <c r="AC211" s="209">
        <v>0.0919</v>
      </c>
      <c r="AD211" s="207"/>
      <c r="AE211" s="210">
        <v>25.85</v>
      </c>
      <c r="AF211" s="206">
        <v>0.0319</v>
      </c>
      <c r="AG211" s="207"/>
      <c r="AH211" s="211">
        <v>1117.7</v>
      </c>
      <c r="AI211" s="206">
        <v>0.0456</v>
      </c>
    </row>
    <row r="212" ht="15.75" customHeight="1">
      <c r="B212" s="249"/>
      <c r="C212" s="250"/>
      <c r="Y212" s="205">
        <v>95.95</v>
      </c>
      <c r="Z212" s="206">
        <v>-0.0357</v>
      </c>
      <c r="AA212" s="207"/>
      <c r="AB212" s="208">
        <v>117.88</v>
      </c>
      <c r="AC212" s="209">
        <v>0.0268</v>
      </c>
      <c r="AD212" s="207"/>
      <c r="AE212" s="210">
        <v>25.05</v>
      </c>
      <c r="AF212" s="206">
        <v>0.0224</v>
      </c>
      <c r="AG212" s="207"/>
      <c r="AH212" s="211">
        <v>1068.95</v>
      </c>
      <c r="AI212" s="206">
        <v>-0.0076</v>
      </c>
    </row>
    <row r="213" ht="15.75" customHeight="1">
      <c r="B213" s="249"/>
      <c r="C213" s="250"/>
      <c r="Y213" s="179"/>
      <c r="Z213" s="180"/>
      <c r="AB213" s="179"/>
      <c r="AC213" s="180"/>
      <c r="AE213" s="179"/>
      <c r="AF213" s="180"/>
      <c r="AH213" s="179"/>
      <c r="AI213" s="180"/>
    </row>
    <row r="214" ht="15.75" customHeight="1">
      <c r="B214" s="249"/>
      <c r="C214" s="250"/>
      <c r="Y214" s="179"/>
      <c r="Z214" s="180"/>
      <c r="AB214" s="179"/>
      <c r="AC214" s="180"/>
      <c r="AE214" s="179"/>
      <c r="AF214" s="180"/>
      <c r="AH214" s="179"/>
      <c r="AI214" s="180"/>
    </row>
    <row r="215" ht="15.75" customHeight="1">
      <c r="B215" s="249"/>
      <c r="C215" s="250"/>
      <c r="Y215" s="179"/>
      <c r="Z215" s="180"/>
      <c r="AB215" s="179"/>
      <c r="AC215" s="180"/>
      <c r="AE215" s="179"/>
      <c r="AF215" s="180"/>
      <c r="AH215" s="179"/>
      <c r="AI215" s="180"/>
    </row>
    <row r="216" ht="15.75" customHeight="1">
      <c r="B216" s="249"/>
      <c r="C216" s="250"/>
      <c r="Y216" s="179"/>
      <c r="Z216" s="180"/>
      <c r="AB216" s="179"/>
      <c r="AC216" s="180"/>
      <c r="AE216" s="179"/>
      <c r="AF216" s="180"/>
      <c r="AH216" s="179"/>
      <c r="AI216" s="180"/>
    </row>
    <row r="217" ht="15.75" customHeight="1">
      <c r="B217" s="249"/>
      <c r="C217" s="250"/>
      <c r="Y217" s="179"/>
      <c r="Z217" s="180"/>
      <c r="AB217" s="179"/>
      <c r="AC217" s="180"/>
      <c r="AE217" s="179"/>
      <c r="AF217" s="180"/>
      <c r="AH217" s="179"/>
      <c r="AI217" s="180"/>
    </row>
    <row r="218" ht="15.75" customHeight="1">
      <c r="B218" s="249"/>
      <c r="C218" s="250"/>
      <c r="Y218" s="179"/>
      <c r="Z218" s="180"/>
      <c r="AB218" s="179"/>
      <c r="AC218" s="180"/>
      <c r="AE218" s="179"/>
      <c r="AF218" s="180"/>
      <c r="AH218" s="179"/>
      <c r="AI218" s="180"/>
    </row>
    <row r="219" ht="15.75" customHeight="1">
      <c r="B219" s="249"/>
      <c r="C219" s="250"/>
      <c r="Y219" s="179"/>
      <c r="Z219" s="180"/>
      <c r="AB219" s="179"/>
      <c r="AC219" s="180"/>
      <c r="AE219" s="179"/>
      <c r="AF219" s="180"/>
      <c r="AH219" s="179"/>
      <c r="AI219" s="180"/>
    </row>
    <row r="220" ht="15.75" customHeight="1">
      <c r="B220" s="249"/>
      <c r="C220" s="250"/>
      <c r="Y220" s="179"/>
      <c r="Z220" s="180"/>
      <c r="AB220" s="179"/>
      <c r="AC220" s="180"/>
      <c r="AE220" s="179"/>
      <c r="AF220" s="180"/>
      <c r="AH220" s="179"/>
      <c r="AI220" s="180"/>
    </row>
    <row r="221" ht="15.75" customHeight="1">
      <c r="B221" s="249"/>
      <c r="C221" s="250"/>
      <c r="Y221" s="179"/>
      <c r="Z221" s="180"/>
      <c r="AB221" s="179"/>
      <c r="AC221" s="180"/>
      <c r="AE221" s="179"/>
      <c r="AF221" s="180"/>
      <c r="AH221" s="179"/>
      <c r="AI221" s="180"/>
    </row>
    <row r="222" ht="15.75" customHeight="1">
      <c r="B222" s="249"/>
      <c r="C222" s="250"/>
      <c r="Y222" s="179"/>
      <c r="Z222" s="180"/>
      <c r="AB222" s="179"/>
      <c r="AC222" s="180"/>
      <c r="AE222" s="179"/>
      <c r="AF222" s="180"/>
      <c r="AH222" s="179"/>
      <c r="AI222" s="180"/>
    </row>
    <row r="223" ht="15.75" customHeight="1">
      <c r="B223" s="249"/>
      <c r="C223" s="250"/>
      <c r="Y223" s="179"/>
      <c r="Z223" s="180"/>
      <c r="AB223" s="179"/>
      <c r="AC223" s="180"/>
      <c r="AE223" s="179"/>
      <c r="AF223" s="180"/>
      <c r="AH223" s="179"/>
      <c r="AI223" s="180"/>
    </row>
    <row r="224" ht="15.75" customHeight="1">
      <c r="B224" s="249"/>
      <c r="C224" s="250"/>
      <c r="Y224" s="179"/>
      <c r="Z224" s="180"/>
      <c r="AB224" s="179"/>
      <c r="AC224" s="180"/>
      <c r="AE224" s="179"/>
      <c r="AF224" s="180"/>
      <c r="AH224" s="179"/>
      <c r="AI224" s="180"/>
    </row>
    <row r="225" ht="15.75" customHeight="1">
      <c r="B225" s="249"/>
      <c r="C225" s="250"/>
      <c r="Y225" s="179"/>
      <c r="Z225" s="180"/>
      <c r="AB225" s="179"/>
      <c r="AC225" s="180"/>
      <c r="AE225" s="179"/>
      <c r="AF225" s="180"/>
      <c r="AH225" s="179"/>
      <c r="AI225" s="180"/>
    </row>
    <row r="226" ht="15.75" customHeight="1">
      <c r="B226" s="249"/>
      <c r="C226" s="250"/>
      <c r="Y226" s="179"/>
      <c r="Z226" s="180"/>
      <c r="AB226" s="179"/>
      <c r="AC226" s="180"/>
      <c r="AE226" s="179"/>
      <c r="AF226" s="180"/>
      <c r="AH226" s="179"/>
      <c r="AI226" s="180"/>
    </row>
    <row r="227" ht="15.75" customHeight="1">
      <c r="B227" s="249"/>
      <c r="C227" s="250"/>
      <c r="Y227" s="179"/>
      <c r="Z227" s="180"/>
      <c r="AB227" s="179"/>
      <c r="AC227" s="180"/>
      <c r="AE227" s="179"/>
      <c r="AF227" s="180"/>
      <c r="AH227" s="179"/>
      <c r="AI227" s="180"/>
    </row>
    <row r="228" ht="15.75" customHeight="1">
      <c r="B228" s="249"/>
      <c r="C228" s="250"/>
      <c r="Y228" s="179"/>
      <c r="Z228" s="180"/>
      <c r="AB228" s="179"/>
      <c r="AC228" s="180"/>
      <c r="AE228" s="179"/>
      <c r="AF228" s="180"/>
      <c r="AH228" s="179"/>
      <c r="AI228" s="180"/>
    </row>
    <row r="229" ht="15.75" customHeight="1">
      <c r="B229" s="249"/>
      <c r="C229" s="250"/>
      <c r="Y229" s="179"/>
      <c r="Z229" s="180"/>
      <c r="AB229" s="179"/>
      <c r="AC229" s="180"/>
      <c r="AE229" s="179"/>
      <c r="AF229" s="180"/>
      <c r="AH229" s="179"/>
      <c r="AI229" s="180"/>
    </row>
    <row r="230" ht="15.75" customHeight="1">
      <c r="B230" s="249"/>
      <c r="C230" s="250"/>
      <c r="Y230" s="179"/>
      <c r="Z230" s="180"/>
      <c r="AB230" s="179"/>
      <c r="AC230" s="180"/>
      <c r="AE230" s="179"/>
      <c r="AF230" s="180"/>
      <c r="AH230" s="179"/>
      <c r="AI230" s="180"/>
    </row>
    <row r="231" ht="15.75" customHeight="1">
      <c r="B231" s="249"/>
      <c r="C231" s="250"/>
      <c r="Y231" s="179"/>
      <c r="Z231" s="180"/>
      <c r="AB231" s="179"/>
      <c r="AC231" s="180"/>
      <c r="AE231" s="179"/>
      <c r="AF231" s="180"/>
      <c r="AH231" s="179"/>
      <c r="AI231" s="180"/>
    </row>
    <row r="232" ht="15.75" customHeight="1">
      <c r="B232" s="249"/>
      <c r="C232" s="250"/>
      <c r="Y232" s="179"/>
      <c r="Z232" s="180"/>
      <c r="AB232" s="179"/>
      <c r="AC232" s="180"/>
      <c r="AE232" s="179"/>
      <c r="AF232" s="180"/>
      <c r="AH232" s="179"/>
      <c r="AI232" s="180"/>
    </row>
    <row r="233" ht="15.75" customHeight="1">
      <c r="B233" s="249"/>
      <c r="C233" s="250"/>
      <c r="Y233" s="179"/>
      <c r="Z233" s="180"/>
      <c r="AB233" s="179"/>
      <c r="AC233" s="180"/>
      <c r="AE233" s="179"/>
      <c r="AF233" s="180"/>
      <c r="AH233" s="179"/>
      <c r="AI233" s="180"/>
    </row>
    <row r="234" ht="15.75" customHeight="1">
      <c r="B234" s="249"/>
      <c r="C234" s="250"/>
      <c r="Y234" s="179"/>
      <c r="Z234" s="180"/>
      <c r="AB234" s="179"/>
      <c r="AC234" s="180"/>
      <c r="AE234" s="179"/>
      <c r="AF234" s="180"/>
      <c r="AH234" s="179"/>
      <c r="AI234" s="180"/>
    </row>
    <row r="235" ht="15.75" customHeight="1">
      <c r="B235" s="249"/>
      <c r="C235" s="250"/>
      <c r="Y235" s="179"/>
      <c r="Z235" s="180"/>
      <c r="AB235" s="179"/>
      <c r="AC235" s="180"/>
      <c r="AE235" s="179"/>
      <c r="AF235" s="180"/>
      <c r="AH235" s="179"/>
      <c r="AI235" s="180"/>
    </row>
    <row r="236" ht="15.75" customHeight="1">
      <c r="B236" s="249"/>
      <c r="C236" s="250"/>
      <c r="Y236" s="179"/>
      <c r="Z236" s="180"/>
      <c r="AB236" s="179"/>
      <c r="AC236" s="180"/>
      <c r="AE236" s="179"/>
      <c r="AF236" s="180"/>
      <c r="AH236" s="179"/>
      <c r="AI236" s="180"/>
    </row>
    <row r="237" ht="15.75" customHeight="1">
      <c r="B237" s="249"/>
      <c r="C237" s="250"/>
      <c r="Y237" s="179"/>
      <c r="Z237" s="180"/>
      <c r="AB237" s="179"/>
      <c r="AC237" s="180"/>
      <c r="AE237" s="179"/>
      <c r="AF237" s="180"/>
      <c r="AH237" s="179"/>
      <c r="AI237" s="180"/>
    </row>
    <row r="238" ht="15.75" customHeight="1">
      <c r="B238" s="249"/>
      <c r="C238" s="250"/>
      <c r="Y238" s="179"/>
      <c r="Z238" s="180"/>
      <c r="AB238" s="179"/>
      <c r="AC238" s="180"/>
      <c r="AE238" s="179"/>
      <c r="AF238" s="180"/>
      <c r="AH238" s="179"/>
      <c r="AI238" s="180"/>
    </row>
    <row r="239" ht="15.75" customHeight="1">
      <c r="B239" s="249"/>
      <c r="C239" s="250"/>
      <c r="Y239" s="179"/>
      <c r="Z239" s="180"/>
      <c r="AB239" s="179"/>
      <c r="AC239" s="180"/>
      <c r="AE239" s="179"/>
      <c r="AF239" s="180"/>
      <c r="AH239" s="179"/>
      <c r="AI239" s="180"/>
    </row>
    <row r="240" ht="15.75" customHeight="1">
      <c r="B240" s="249"/>
      <c r="C240" s="250"/>
      <c r="Y240" s="179"/>
      <c r="Z240" s="180"/>
      <c r="AB240" s="179"/>
      <c r="AC240" s="180"/>
      <c r="AE240" s="179"/>
      <c r="AF240" s="180"/>
      <c r="AH240" s="179"/>
      <c r="AI240" s="180"/>
    </row>
    <row r="241" ht="15.75" customHeight="1">
      <c r="B241" s="249"/>
      <c r="C241" s="250"/>
      <c r="Y241" s="179"/>
      <c r="Z241" s="180"/>
      <c r="AB241" s="179"/>
      <c r="AC241" s="180"/>
      <c r="AE241" s="179"/>
      <c r="AF241" s="180"/>
      <c r="AH241" s="179"/>
      <c r="AI241" s="180"/>
    </row>
    <row r="242" ht="15.75" customHeight="1">
      <c r="B242" s="249"/>
      <c r="C242" s="250"/>
      <c r="Y242" s="179"/>
      <c r="Z242" s="180"/>
      <c r="AB242" s="179"/>
      <c r="AC242" s="180"/>
      <c r="AE242" s="179"/>
      <c r="AF242" s="180"/>
      <c r="AH242" s="179"/>
      <c r="AI242" s="180"/>
    </row>
    <row r="243" ht="15.75" customHeight="1">
      <c r="B243" s="249"/>
      <c r="C243" s="250"/>
      <c r="Y243" s="179"/>
      <c r="Z243" s="180"/>
      <c r="AB243" s="179"/>
      <c r="AC243" s="180"/>
      <c r="AE243" s="179"/>
      <c r="AF243" s="180"/>
      <c r="AH243" s="179"/>
      <c r="AI243" s="180"/>
    </row>
    <row r="244" ht="15.75" customHeight="1">
      <c r="B244" s="249"/>
      <c r="C244" s="250"/>
      <c r="Y244" s="179"/>
      <c r="Z244" s="180"/>
      <c r="AB244" s="179"/>
      <c r="AC244" s="180"/>
      <c r="AE244" s="179"/>
      <c r="AF244" s="180"/>
      <c r="AH244" s="179"/>
      <c r="AI244" s="180"/>
    </row>
    <row r="245" ht="15.75" customHeight="1">
      <c r="B245" s="249"/>
      <c r="C245" s="250"/>
      <c r="Y245" s="179"/>
      <c r="Z245" s="180"/>
      <c r="AB245" s="179"/>
      <c r="AC245" s="180"/>
      <c r="AE245" s="179"/>
      <c r="AF245" s="180"/>
      <c r="AH245" s="179"/>
      <c r="AI245" s="180"/>
    </row>
    <row r="246" ht="15.75" customHeight="1">
      <c r="B246" s="249"/>
      <c r="C246" s="250"/>
      <c r="Y246" s="179"/>
      <c r="Z246" s="180"/>
      <c r="AB246" s="179"/>
      <c r="AC246" s="180"/>
      <c r="AE246" s="179"/>
      <c r="AF246" s="180"/>
      <c r="AH246" s="179"/>
      <c r="AI246" s="180"/>
    </row>
    <row r="247" ht="15.75" customHeight="1">
      <c r="B247" s="249"/>
      <c r="C247" s="250"/>
      <c r="Y247" s="179"/>
      <c r="Z247" s="180"/>
      <c r="AB247" s="179"/>
      <c r="AC247" s="180"/>
      <c r="AE247" s="179"/>
      <c r="AF247" s="180"/>
      <c r="AH247" s="179"/>
      <c r="AI247" s="180"/>
    </row>
    <row r="248" ht="15.75" customHeight="1">
      <c r="B248" s="249"/>
      <c r="C248" s="250"/>
      <c r="Y248" s="179"/>
      <c r="Z248" s="180"/>
      <c r="AB248" s="179"/>
      <c r="AC248" s="180"/>
      <c r="AE248" s="179"/>
      <c r="AF248" s="180"/>
      <c r="AH248" s="179"/>
      <c r="AI248" s="180"/>
    </row>
    <row r="249" ht="15.75" customHeight="1">
      <c r="B249" s="178"/>
      <c r="Y249" s="179"/>
      <c r="Z249" s="180"/>
      <c r="AB249" s="179"/>
      <c r="AC249" s="180"/>
      <c r="AE249" s="179"/>
      <c r="AF249" s="180"/>
      <c r="AH249" s="179"/>
      <c r="AI249" s="180"/>
    </row>
    <row r="250" ht="15.75" customHeight="1">
      <c r="B250" s="178"/>
      <c r="Y250" s="179"/>
      <c r="Z250" s="180"/>
      <c r="AB250" s="179"/>
      <c r="AC250" s="180"/>
      <c r="AE250" s="179"/>
      <c r="AF250" s="180"/>
      <c r="AH250" s="179"/>
      <c r="AI250" s="180"/>
    </row>
    <row r="251" ht="15.75" customHeight="1">
      <c r="B251" s="178"/>
      <c r="Y251" s="179"/>
      <c r="Z251" s="180"/>
      <c r="AB251" s="179"/>
      <c r="AC251" s="180"/>
      <c r="AE251" s="179"/>
      <c r="AF251" s="180"/>
      <c r="AH251" s="179"/>
      <c r="AI251" s="180"/>
    </row>
    <row r="252" ht="15.75" customHeight="1">
      <c r="B252" s="178"/>
      <c r="Y252" s="179"/>
      <c r="Z252" s="180"/>
      <c r="AB252" s="179"/>
      <c r="AC252" s="180"/>
      <c r="AE252" s="179"/>
      <c r="AF252" s="180"/>
      <c r="AH252" s="179"/>
      <c r="AI252" s="180"/>
    </row>
    <row r="253" ht="15.75" customHeight="1">
      <c r="B253" s="178"/>
      <c r="Y253" s="179"/>
      <c r="Z253" s="180"/>
      <c r="AB253" s="179"/>
      <c r="AC253" s="180"/>
      <c r="AE253" s="179"/>
      <c r="AF253" s="180"/>
      <c r="AH253" s="179"/>
      <c r="AI253" s="180"/>
    </row>
    <row r="254" ht="15.75" customHeight="1">
      <c r="B254" s="178"/>
      <c r="Y254" s="179"/>
      <c r="Z254" s="180"/>
      <c r="AB254" s="179"/>
      <c r="AC254" s="180"/>
      <c r="AE254" s="179"/>
      <c r="AF254" s="180"/>
      <c r="AH254" s="179"/>
      <c r="AI254" s="180"/>
    </row>
    <row r="255" ht="15.75" customHeight="1">
      <c r="B255" s="178"/>
      <c r="Y255" s="179"/>
      <c r="Z255" s="180"/>
      <c r="AB255" s="179"/>
      <c r="AC255" s="180"/>
      <c r="AE255" s="179"/>
      <c r="AF255" s="180"/>
      <c r="AH255" s="179"/>
      <c r="AI255" s="180"/>
    </row>
    <row r="256" ht="15.75" customHeight="1">
      <c r="B256" s="178"/>
      <c r="Y256" s="179"/>
      <c r="Z256" s="180"/>
      <c r="AB256" s="179"/>
      <c r="AC256" s="180"/>
      <c r="AE256" s="179"/>
      <c r="AF256" s="180"/>
      <c r="AH256" s="179"/>
      <c r="AI256" s="180"/>
    </row>
    <row r="257" ht="15.75" customHeight="1">
      <c r="B257" s="178"/>
      <c r="Y257" s="179"/>
      <c r="Z257" s="180"/>
      <c r="AB257" s="179"/>
      <c r="AC257" s="180"/>
      <c r="AE257" s="179"/>
      <c r="AF257" s="180"/>
      <c r="AH257" s="179"/>
      <c r="AI257" s="180"/>
    </row>
    <row r="258" ht="15.75" customHeight="1">
      <c r="B258" s="178"/>
      <c r="Y258" s="179"/>
      <c r="Z258" s="180"/>
      <c r="AB258" s="179"/>
      <c r="AC258" s="180"/>
      <c r="AE258" s="179"/>
      <c r="AF258" s="180"/>
      <c r="AH258" s="179"/>
      <c r="AI258" s="180"/>
    </row>
    <row r="259" ht="15.75" customHeight="1">
      <c r="B259" s="178"/>
      <c r="Y259" s="179"/>
      <c r="Z259" s="180"/>
      <c r="AB259" s="179"/>
      <c r="AC259" s="180"/>
      <c r="AE259" s="179"/>
      <c r="AF259" s="180"/>
      <c r="AH259" s="179"/>
      <c r="AI259" s="180"/>
    </row>
    <row r="260" ht="15.75" customHeight="1">
      <c r="B260" s="178"/>
      <c r="Y260" s="179"/>
      <c r="Z260" s="180"/>
      <c r="AB260" s="179"/>
      <c r="AC260" s="180"/>
      <c r="AE260" s="179"/>
      <c r="AF260" s="180"/>
      <c r="AH260" s="179"/>
      <c r="AI260" s="180"/>
    </row>
    <row r="261" ht="15.75" customHeight="1">
      <c r="B261" s="178"/>
      <c r="Y261" s="179"/>
      <c r="Z261" s="180"/>
      <c r="AB261" s="179"/>
      <c r="AC261" s="180"/>
      <c r="AE261" s="179"/>
      <c r="AF261" s="180"/>
      <c r="AH261" s="179"/>
      <c r="AI261" s="180"/>
    </row>
    <row r="262" ht="15.75" customHeight="1">
      <c r="B262" s="178"/>
      <c r="Y262" s="179"/>
      <c r="Z262" s="180"/>
      <c r="AB262" s="179"/>
      <c r="AC262" s="180"/>
      <c r="AE262" s="179"/>
      <c r="AF262" s="180"/>
      <c r="AH262" s="179"/>
      <c r="AI262" s="180"/>
    </row>
    <row r="263" ht="15.75" customHeight="1">
      <c r="B263" s="178"/>
      <c r="Y263" s="179"/>
      <c r="Z263" s="180"/>
      <c r="AB263" s="179"/>
      <c r="AC263" s="180"/>
      <c r="AE263" s="179"/>
      <c r="AF263" s="180"/>
      <c r="AH263" s="179"/>
      <c r="AI263" s="180"/>
    </row>
    <row r="264" ht="15.75" customHeight="1">
      <c r="B264" s="178"/>
      <c r="Y264" s="179"/>
      <c r="Z264" s="180"/>
      <c r="AB264" s="179"/>
      <c r="AC264" s="180"/>
      <c r="AE264" s="179"/>
      <c r="AF264" s="180"/>
      <c r="AH264" s="179"/>
      <c r="AI264" s="180"/>
    </row>
    <row r="265" ht="15.75" customHeight="1">
      <c r="B265" s="178"/>
      <c r="Y265" s="179"/>
      <c r="Z265" s="180"/>
      <c r="AB265" s="179"/>
      <c r="AC265" s="180"/>
      <c r="AE265" s="179"/>
      <c r="AF265" s="180"/>
      <c r="AH265" s="179"/>
      <c r="AI265" s="180"/>
    </row>
    <row r="266" ht="15.75" customHeight="1">
      <c r="B266" s="178"/>
      <c r="Y266" s="179"/>
      <c r="Z266" s="180"/>
      <c r="AB266" s="179"/>
      <c r="AC266" s="180"/>
      <c r="AE266" s="179"/>
      <c r="AF266" s="180"/>
      <c r="AH266" s="179"/>
      <c r="AI266" s="180"/>
    </row>
    <row r="267" ht="15.75" customHeight="1">
      <c r="B267" s="178"/>
      <c r="Y267" s="179"/>
      <c r="Z267" s="180"/>
      <c r="AB267" s="179"/>
      <c r="AC267" s="180"/>
      <c r="AE267" s="179"/>
      <c r="AF267" s="180"/>
      <c r="AH267" s="179"/>
      <c r="AI267" s="180"/>
    </row>
    <row r="268" ht="15.75" customHeight="1">
      <c r="B268" s="178"/>
      <c r="Y268" s="179"/>
      <c r="Z268" s="180"/>
      <c r="AB268" s="179"/>
      <c r="AC268" s="180"/>
      <c r="AE268" s="179"/>
      <c r="AF268" s="180"/>
      <c r="AH268" s="179"/>
      <c r="AI268" s="180"/>
    </row>
    <row r="269" ht="15.75" customHeight="1">
      <c r="B269" s="178"/>
      <c r="Y269" s="179"/>
      <c r="Z269" s="180"/>
      <c r="AB269" s="179"/>
      <c r="AC269" s="180"/>
      <c r="AE269" s="179"/>
      <c r="AF269" s="180"/>
      <c r="AH269" s="179"/>
      <c r="AI269" s="180"/>
    </row>
    <row r="270" ht="15.75" customHeight="1">
      <c r="B270" s="178"/>
      <c r="Y270" s="179"/>
      <c r="Z270" s="180"/>
      <c r="AB270" s="179"/>
      <c r="AC270" s="180"/>
      <c r="AE270" s="179"/>
      <c r="AF270" s="180"/>
      <c r="AH270" s="179"/>
      <c r="AI270" s="180"/>
    </row>
    <row r="271" ht="15.75" customHeight="1">
      <c r="B271" s="178"/>
      <c r="Y271" s="179"/>
      <c r="Z271" s="180"/>
      <c r="AB271" s="179"/>
      <c r="AC271" s="180"/>
      <c r="AE271" s="179"/>
      <c r="AF271" s="180"/>
      <c r="AH271" s="179"/>
      <c r="AI271" s="180"/>
    </row>
    <row r="272" ht="15.75" customHeight="1">
      <c r="B272" s="178"/>
      <c r="Y272" s="179"/>
      <c r="Z272" s="180"/>
      <c r="AB272" s="179"/>
      <c r="AC272" s="180"/>
      <c r="AE272" s="179"/>
      <c r="AF272" s="180"/>
      <c r="AH272" s="179"/>
      <c r="AI272" s="180"/>
    </row>
    <row r="273" ht="15.75" customHeight="1">
      <c r="B273" s="178"/>
      <c r="Y273" s="179"/>
      <c r="Z273" s="180"/>
      <c r="AB273" s="179"/>
      <c r="AC273" s="180"/>
      <c r="AE273" s="179"/>
      <c r="AF273" s="180"/>
      <c r="AH273" s="179"/>
      <c r="AI273" s="180"/>
    </row>
    <row r="274" ht="15.75" customHeight="1">
      <c r="B274" s="178"/>
      <c r="Y274" s="179"/>
      <c r="Z274" s="180"/>
      <c r="AB274" s="179"/>
      <c r="AC274" s="180"/>
      <c r="AE274" s="179"/>
      <c r="AF274" s="180"/>
      <c r="AH274" s="179"/>
      <c r="AI274" s="180"/>
    </row>
    <row r="275" ht="15.75" customHeight="1">
      <c r="B275" s="178"/>
      <c r="Y275" s="179"/>
      <c r="Z275" s="180"/>
      <c r="AB275" s="179"/>
      <c r="AC275" s="180"/>
      <c r="AE275" s="179"/>
      <c r="AF275" s="180"/>
      <c r="AH275" s="179"/>
      <c r="AI275" s="180"/>
    </row>
    <row r="276" ht="15.75" customHeight="1">
      <c r="B276" s="178"/>
      <c r="Y276" s="179"/>
      <c r="Z276" s="180"/>
      <c r="AB276" s="179"/>
      <c r="AC276" s="180"/>
      <c r="AE276" s="179"/>
      <c r="AF276" s="180"/>
      <c r="AH276" s="179"/>
      <c r="AI276" s="180"/>
    </row>
    <row r="277" ht="15.75" customHeight="1">
      <c r="B277" s="178"/>
      <c r="Y277" s="179"/>
      <c r="Z277" s="180"/>
      <c r="AB277" s="179"/>
      <c r="AC277" s="180"/>
      <c r="AE277" s="179"/>
      <c r="AF277" s="180"/>
      <c r="AH277" s="179"/>
      <c r="AI277" s="180"/>
    </row>
    <row r="278" ht="15.75" customHeight="1">
      <c r="B278" s="178"/>
      <c r="Y278" s="179"/>
      <c r="Z278" s="180"/>
      <c r="AB278" s="179"/>
      <c r="AC278" s="180"/>
      <c r="AE278" s="179"/>
      <c r="AF278" s="180"/>
      <c r="AH278" s="179"/>
      <c r="AI278" s="180"/>
    </row>
    <row r="279" ht="15.75" customHeight="1">
      <c r="B279" s="178"/>
      <c r="Y279" s="179"/>
      <c r="Z279" s="180"/>
      <c r="AB279" s="179"/>
      <c r="AC279" s="180"/>
      <c r="AE279" s="179"/>
      <c r="AF279" s="180"/>
      <c r="AH279" s="179"/>
      <c r="AI279" s="180"/>
    </row>
    <row r="280" ht="15.75" customHeight="1">
      <c r="B280" s="178"/>
      <c r="Y280" s="179"/>
      <c r="Z280" s="180"/>
      <c r="AB280" s="179"/>
      <c r="AC280" s="180"/>
      <c r="AE280" s="179"/>
      <c r="AF280" s="180"/>
      <c r="AH280" s="179"/>
      <c r="AI280" s="180"/>
    </row>
    <row r="281" ht="15.75" customHeight="1">
      <c r="B281" s="178"/>
      <c r="Y281" s="179"/>
      <c r="Z281" s="180"/>
      <c r="AB281" s="179"/>
      <c r="AC281" s="180"/>
      <c r="AE281" s="179"/>
      <c r="AF281" s="180"/>
      <c r="AH281" s="179"/>
      <c r="AI281" s="180"/>
    </row>
    <row r="282" ht="15.75" customHeight="1">
      <c r="B282" s="178"/>
      <c r="Y282" s="179"/>
      <c r="Z282" s="180"/>
      <c r="AB282" s="179"/>
      <c r="AC282" s="180"/>
      <c r="AE282" s="179"/>
      <c r="AF282" s="180"/>
      <c r="AH282" s="179"/>
      <c r="AI282" s="180"/>
    </row>
    <row r="283" ht="15.75" customHeight="1">
      <c r="B283" s="178"/>
      <c r="Y283" s="179"/>
      <c r="Z283" s="180"/>
      <c r="AB283" s="179"/>
      <c r="AC283" s="180"/>
      <c r="AE283" s="179"/>
      <c r="AF283" s="180"/>
      <c r="AH283" s="179"/>
      <c r="AI283" s="180"/>
    </row>
    <row r="284" ht="15.75" customHeight="1">
      <c r="B284" s="178"/>
      <c r="Y284" s="179"/>
      <c r="Z284" s="180"/>
      <c r="AB284" s="179"/>
      <c r="AC284" s="180"/>
      <c r="AE284" s="179"/>
      <c r="AF284" s="180"/>
      <c r="AH284" s="179"/>
      <c r="AI284" s="180"/>
    </row>
    <row r="285" ht="15.75" customHeight="1">
      <c r="B285" s="178"/>
      <c r="Y285" s="179"/>
      <c r="Z285" s="180"/>
      <c r="AB285" s="179"/>
      <c r="AC285" s="180"/>
      <c r="AE285" s="179"/>
      <c r="AF285" s="180"/>
      <c r="AH285" s="179"/>
      <c r="AI285" s="180"/>
    </row>
    <row r="286" ht="15.75" customHeight="1">
      <c r="B286" s="178"/>
      <c r="Y286" s="179"/>
      <c r="Z286" s="180"/>
      <c r="AB286" s="179"/>
      <c r="AC286" s="180"/>
      <c r="AE286" s="179"/>
      <c r="AF286" s="180"/>
      <c r="AH286" s="179"/>
      <c r="AI286" s="180"/>
    </row>
    <row r="287" ht="15.75" customHeight="1">
      <c r="B287" s="178"/>
      <c r="Y287" s="179"/>
      <c r="Z287" s="180"/>
      <c r="AB287" s="179"/>
      <c r="AC287" s="180"/>
      <c r="AE287" s="179"/>
      <c r="AF287" s="180"/>
      <c r="AH287" s="179"/>
      <c r="AI287" s="180"/>
    </row>
    <row r="288" ht="15.75" customHeight="1">
      <c r="B288" s="178"/>
      <c r="Y288" s="179"/>
      <c r="Z288" s="180"/>
      <c r="AB288" s="179"/>
      <c r="AC288" s="180"/>
      <c r="AE288" s="179"/>
      <c r="AF288" s="180"/>
      <c r="AH288" s="179"/>
      <c r="AI288" s="180"/>
    </row>
    <row r="289" ht="15.75" customHeight="1">
      <c r="B289" s="178"/>
      <c r="Y289" s="179"/>
      <c r="Z289" s="180"/>
      <c r="AB289" s="179"/>
      <c r="AC289" s="180"/>
      <c r="AE289" s="179"/>
      <c r="AF289" s="180"/>
      <c r="AH289" s="179"/>
      <c r="AI289" s="180"/>
    </row>
    <row r="290" ht="15.75" customHeight="1">
      <c r="B290" s="178"/>
      <c r="Y290" s="179"/>
      <c r="Z290" s="180"/>
      <c r="AB290" s="179"/>
      <c r="AC290" s="180"/>
      <c r="AE290" s="179"/>
      <c r="AF290" s="180"/>
      <c r="AH290" s="179"/>
      <c r="AI290" s="180"/>
    </row>
    <row r="291" ht="15.75" customHeight="1">
      <c r="B291" s="178"/>
      <c r="Y291" s="179"/>
      <c r="Z291" s="180"/>
      <c r="AB291" s="179"/>
      <c r="AC291" s="180"/>
      <c r="AE291" s="179"/>
      <c r="AF291" s="180"/>
      <c r="AH291" s="179"/>
      <c r="AI291" s="180"/>
    </row>
    <row r="292" ht="15.75" customHeight="1">
      <c r="B292" s="178"/>
      <c r="Y292" s="179"/>
      <c r="Z292" s="180"/>
      <c r="AB292" s="179"/>
      <c r="AC292" s="180"/>
      <c r="AE292" s="179"/>
      <c r="AF292" s="180"/>
      <c r="AH292" s="179"/>
      <c r="AI292" s="180"/>
    </row>
    <row r="293" ht="15.75" customHeight="1">
      <c r="B293" s="178"/>
      <c r="Y293" s="179"/>
      <c r="Z293" s="180"/>
      <c r="AB293" s="179"/>
      <c r="AC293" s="180"/>
      <c r="AE293" s="179"/>
      <c r="AF293" s="180"/>
      <c r="AH293" s="179"/>
      <c r="AI293" s="180"/>
    </row>
    <row r="294" ht="15.75" customHeight="1">
      <c r="B294" s="178"/>
      <c r="Y294" s="179"/>
      <c r="Z294" s="180"/>
      <c r="AB294" s="179"/>
      <c r="AC294" s="180"/>
      <c r="AE294" s="179"/>
      <c r="AF294" s="180"/>
      <c r="AH294" s="179"/>
      <c r="AI294" s="180"/>
    </row>
    <row r="295" ht="15.75" customHeight="1">
      <c r="B295" s="178"/>
      <c r="Y295" s="179"/>
      <c r="Z295" s="180"/>
      <c r="AB295" s="179"/>
      <c r="AC295" s="180"/>
      <c r="AE295" s="179"/>
      <c r="AF295" s="180"/>
      <c r="AH295" s="179"/>
      <c r="AI295" s="180"/>
    </row>
    <row r="296" ht="15.75" customHeight="1">
      <c r="B296" s="178"/>
      <c r="Y296" s="179"/>
      <c r="Z296" s="180"/>
      <c r="AB296" s="179"/>
      <c r="AC296" s="180"/>
      <c r="AE296" s="179"/>
      <c r="AF296" s="180"/>
      <c r="AH296" s="179"/>
      <c r="AI296" s="180"/>
    </row>
    <row r="297" ht="15.75" customHeight="1">
      <c r="B297" s="178"/>
      <c r="Y297" s="179"/>
      <c r="Z297" s="180"/>
      <c r="AB297" s="179"/>
      <c r="AC297" s="180"/>
      <c r="AE297" s="179"/>
      <c r="AF297" s="180"/>
      <c r="AH297" s="179"/>
      <c r="AI297" s="180"/>
    </row>
    <row r="298" ht="15.75" customHeight="1">
      <c r="B298" s="178"/>
      <c r="Y298" s="179"/>
      <c r="Z298" s="180"/>
      <c r="AB298" s="179"/>
      <c r="AC298" s="180"/>
      <c r="AE298" s="179"/>
      <c r="AF298" s="180"/>
      <c r="AH298" s="179"/>
      <c r="AI298" s="180"/>
    </row>
    <row r="299" ht="15.75" customHeight="1">
      <c r="B299" s="178"/>
      <c r="Y299" s="179"/>
      <c r="Z299" s="180"/>
      <c r="AB299" s="179"/>
      <c r="AC299" s="180"/>
      <c r="AE299" s="179"/>
      <c r="AF299" s="180"/>
      <c r="AH299" s="179"/>
      <c r="AI299" s="180"/>
    </row>
    <row r="300" ht="15.75" customHeight="1">
      <c r="B300" s="178"/>
      <c r="Y300" s="179"/>
      <c r="Z300" s="180"/>
      <c r="AB300" s="179"/>
      <c r="AC300" s="180"/>
      <c r="AE300" s="179"/>
      <c r="AF300" s="180"/>
      <c r="AH300" s="179"/>
      <c r="AI300" s="180"/>
    </row>
    <row r="301" ht="15.75" customHeight="1">
      <c r="B301" s="178"/>
      <c r="Y301" s="179"/>
      <c r="Z301" s="180"/>
      <c r="AB301" s="179"/>
      <c r="AC301" s="180"/>
      <c r="AE301" s="179"/>
      <c r="AF301" s="180"/>
      <c r="AH301" s="179"/>
      <c r="AI301" s="180"/>
    </row>
    <row r="302" ht="15.75" customHeight="1">
      <c r="B302" s="178"/>
      <c r="Y302" s="179"/>
      <c r="Z302" s="180"/>
      <c r="AB302" s="179"/>
      <c r="AC302" s="180"/>
      <c r="AE302" s="179"/>
      <c r="AF302" s="180"/>
      <c r="AH302" s="179"/>
      <c r="AI302" s="180"/>
    </row>
    <row r="303" ht="15.75" customHeight="1">
      <c r="B303" s="178"/>
      <c r="Y303" s="179"/>
      <c r="Z303" s="180"/>
      <c r="AB303" s="179"/>
      <c r="AC303" s="180"/>
      <c r="AE303" s="179"/>
      <c r="AF303" s="180"/>
      <c r="AH303" s="179"/>
      <c r="AI303" s="180"/>
    </row>
    <row r="304" ht="15.75" customHeight="1">
      <c r="B304" s="178"/>
      <c r="Y304" s="179"/>
      <c r="Z304" s="180"/>
      <c r="AB304" s="179"/>
      <c r="AC304" s="180"/>
      <c r="AE304" s="179"/>
      <c r="AF304" s="180"/>
      <c r="AH304" s="179"/>
      <c r="AI304" s="180"/>
    </row>
    <row r="305" ht="15.75" customHeight="1">
      <c r="B305" s="178"/>
      <c r="Y305" s="179"/>
      <c r="Z305" s="180"/>
      <c r="AB305" s="179"/>
      <c r="AC305" s="180"/>
      <c r="AE305" s="179"/>
      <c r="AF305" s="180"/>
      <c r="AH305" s="179"/>
      <c r="AI305" s="180"/>
    </row>
    <row r="306" ht="15.75" customHeight="1">
      <c r="B306" s="178"/>
      <c r="Y306" s="179"/>
      <c r="Z306" s="180"/>
      <c r="AB306" s="179"/>
      <c r="AC306" s="180"/>
      <c r="AE306" s="179"/>
      <c r="AF306" s="180"/>
      <c r="AH306" s="179"/>
      <c r="AI306" s="180"/>
    </row>
    <row r="307" ht="15.75" customHeight="1">
      <c r="B307" s="178"/>
      <c r="Y307" s="179"/>
      <c r="Z307" s="180"/>
      <c r="AB307" s="179"/>
      <c r="AC307" s="180"/>
      <c r="AE307" s="179"/>
      <c r="AF307" s="180"/>
      <c r="AH307" s="179"/>
      <c r="AI307" s="180"/>
    </row>
    <row r="308" ht="15.75" customHeight="1">
      <c r="B308" s="178"/>
      <c r="Y308" s="179"/>
      <c r="Z308" s="180"/>
      <c r="AB308" s="179"/>
      <c r="AC308" s="180"/>
      <c r="AE308" s="179"/>
      <c r="AF308" s="180"/>
      <c r="AH308" s="179"/>
      <c r="AI308" s="180"/>
    </row>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1">
    <mergeCell ref="J2:K2"/>
    <mergeCell ref="K16:L18"/>
    <mergeCell ref="I24:J24"/>
    <mergeCell ref="I26:J26"/>
    <mergeCell ref="AB1:AE1"/>
    <mergeCell ref="C2:D2"/>
    <mergeCell ref="F2:G2"/>
    <mergeCell ref="Y3:Z3"/>
    <mergeCell ref="AE3:AF3"/>
    <mergeCell ref="AH3:AI3"/>
    <mergeCell ref="T14:U14"/>
  </mergeCells>
  <conditionalFormatting sqref="E4:E103">
    <cfRule type="notContainsBlanks" dxfId="5" priority="1">
      <formula>LEN(TRIM(E4))&gt;0</formula>
    </cfRule>
  </conditionalFormatting>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22.33"/>
    <col customWidth="1" min="3" max="3" width="24.56"/>
    <col customWidth="1" min="4" max="7" width="10.56"/>
  </cols>
  <sheetData>
    <row r="1" ht="15.75" customHeight="1"/>
    <row r="2" ht="34.5" customHeight="1">
      <c r="B2" s="251" t="s">
        <v>306</v>
      </c>
      <c r="C2" s="3"/>
    </row>
    <row r="3" ht="15.75" customHeight="1">
      <c r="B3" s="252"/>
      <c r="C3" s="252"/>
    </row>
    <row r="4" ht="15.75" customHeight="1">
      <c r="B4" s="253" t="s">
        <v>307</v>
      </c>
      <c r="C4" s="253" t="s">
        <v>308</v>
      </c>
    </row>
    <row r="5" ht="15.75" customHeight="1">
      <c r="B5" s="254">
        <v>2000.0</v>
      </c>
      <c r="C5" s="255">
        <v>-0.1465</v>
      </c>
    </row>
    <row r="6" ht="15.75" customHeight="1">
      <c r="B6" s="254">
        <v>2001.0</v>
      </c>
      <c r="C6" s="255">
        <v>-0.1618</v>
      </c>
    </row>
    <row r="7" ht="15.75" customHeight="1">
      <c r="B7" s="254">
        <v>2002.0</v>
      </c>
      <c r="C7" s="255">
        <v>0.0325</v>
      </c>
      <c r="E7" s="256" t="s">
        <v>309</v>
      </c>
      <c r="F7" s="3"/>
      <c r="G7" s="257">
        <f>AVERAGE(C5:C29)</f>
        <v>0.153348</v>
      </c>
    </row>
    <row r="8" ht="15.75" customHeight="1">
      <c r="B8" s="254">
        <v>2003.0</v>
      </c>
      <c r="C8" s="255">
        <v>0.7190000000000001</v>
      </c>
      <c r="E8" s="258" t="s">
        <v>310</v>
      </c>
      <c r="F8" s="252"/>
      <c r="G8" s="257">
        <v>0.0129</v>
      </c>
    </row>
    <row r="9" ht="15.75" customHeight="1">
      <c r="B9" s="254">
        <v>2004.0</v>
      </c>
      <c r="C9" s="255">
        <v>0.10679999999999999</v>
      </c>
      <c r="E9" s="259" t="s">
        <v>311</v>
      </c>
      <c r="F9" s="3"/>
      <c r="G9" s="260">
        <f>SUM(G7:G8)</f>
        <v>0.166248</v>
      </c>
    </row>
    <row r="10" ht="15.75" customHeight="1">
      <c r="B10" s="254">
        <v>2005.0</v>
      </c>
      <c r="C10" s="255">
        <v>0.36340000000000006</v>
      </c>
    </row>
    <row r="11" ht="15.75" customHeight="1">
      <c r="B11" s="254">
        <v>2006.0</v>
      </c>
      <c r="C11" s="255">
        <v>0.3983</v>
      </c>
    </row>
    <row r="12" ht="15.75" customHeight="1">
      <c r="B12" s="254">
        <v>2007.0</v>
      </c>
      <c r="C12" s="255">
        <v>0.5477000000000001</v>
      </c>
    </row>
    <row r="13" ht="15.75" customHeight="1">
      <c r="B13" s="254">
        <v>2008.0</v>
      </c>
      <c r="C13" s="255">
        <v>-0.5179</v>
      </c>
    </row>
    <row r="14" ht="15.75" customHeight="1">
      <c r="B14" s="254">
        <v>2009.0</v>
      </c>
      <c r="C14" s="255">
        <v>0.7576</v>
      </c>
    </row>
    <row r="15" ht="15.75" customHeight="1">
      <c r="B15" s="254">
        <v>2010.0</v>
      </c>
      <c r="C15" s="255">
        <v>0.1795</v>
      </c>
    </row>
    <row r="16" ht="15.75" customHeight="1">
      <c r="B16" s="254">
        <v>2011.0</v>
      </c>
      <c r="C16" s="255">
        <v>-0.2462</v>
      </c>
    </row>
    <row r="17" ht="15.75" customHeight="1">
      <c r="B17" s="254">
        <v>2012.0</v>
      </c>
      <c r="C17" s="255">
        <v>0.27699999999999997</v>
      </c>
    </row>
    <row r="18" ht="15.75" customHeight="1">
      <c r="B18" s="254">
        <v>2013.0</v>
      </c>
      <c r="C18" s="255">
        <v>0.0676</v>
      </c>
    </row>
    <row r="19" ht="15.75" customHeight="1">
      <c r="B19" s="254">
        <v>2014.0</v>
      </c>
      <c r="C19" s="255">
        <v>0.3139</v>
      </c>
    </row>
    <row r="20" ht="15.75" customHeight="1">
      <c r="B20" s="254">
        <v>2015.0</v>
      </c>
      <c r="C20" s="255">
        <v>-0.0406</v>
      </c>
    </row>
    <row r="21" ht="15.75" customHeight="1">
      <c r="B21" s="254">
        <v>2016.0</v>
      </c>
      <c r="C21" s="255">
        <v>0.0301</v>
      </c>
    </row>
    <row r="22" ht="15.75" customHeight="1">
      <c r="B22" s="254">
        <v>2017.0</v>
      </c>
      <c r="C22" s="255">
        <v>0.2865</v>
      </c>
    </row>
    <row r="23" ht="15.75" customHeight="1">
      <c r="B23" s="254">
        <v>2018.0</v>
      </c>
      <c r="C23" s="255">
        <v>0.0315</v>
      </c>
    </row>
    <row r="24" ht="15.75" customHeight="1">
      <c r="B24" s="254">
        <v>2019.0</v>
      </c>
      <c r="C24" s="255">
        <v>0.1202</v>
      </c>
    </row>
    <row r="25" ht="15.75" customHeight="1">
      <c r="B25" s="254">
        <v>2020.0</v>
      </c>
      <c r="C25" s="255">
        <v>0.149</v>
      </c>
    </row>
    <row r="26" ht="15.75" customHeight="1">
      <c r="B26" s="254">
        <v>2021.0</v>
      </c>
      <c r="C26" s="255">
        <v>0.2412</v>
      </c>
    </row>
    <row r="27" ht="15.75" customHeight="1">
      <c r="B27" s="254">
        <v>2022.0</v>
      </c>
      <c r="C27" s="255">
        <v>0.0432</v>
      </c>
    </row>
    <row r="28" ht="15.75" customHeight="1">
      <c r="B28" s="254">
        <v>2023.0</v>
      </c>
      <c r="C28" s="255">
        <v>0.1942</v>
      </c>
    </row>
    <row r="29" ht="15.75" customHeight="1">
      <c r="B29" s="254">
        <v>2024.0</v>
      </c>
      <c r="C29" s="255">
        <v>0.0875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
    <mergeCell ref="B2:C2"/>
    <mergeCell ref="E7:F7"/>
    <mergeCell ref="E9:F9"/>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16.78"/>
    <col customWidth="1" min="3" max="3" width="10.44"/>
    <col customWidth="1" min="4" max="4" width="11.33"/>
    <col customWidth="1" min="5" max="5" width="12.11"/>
    <col customWidth="1" min="6" max="6" width="14.78"/>
    <col customWidth="1" min="7" max="7" width="10.44"/>
    <col customWidth="1" min="8" max="8" width="14.67"/>
    <col customWidth="1" min="9" max="9" width="16.11"/>
    <col customWidth="1" min="10" max="10" width="28.44"/>
    <col customWidth="1" min="11" max="23" width="10.44"/>
    <col customWidth="1" min="24" max="26" width="11.11"/>
  </cols>
  <sheetData>
    <row r="1" ht="15.75" customHeight="1">
      <c r="A1" s="261" t="s">
        <v>312</v>
      </c>
    </row>
    <row r="2" ht="15.75" customHeight="1"/>
    <row r="3" ht="15.75" customHeight="1"/>
    <row r="4" ht="15.75" customHeight="1"/>
    <row r="5" ht="15.75" customHeight="1">
      <c r="B5" s="262" t="s">
        <v>313</v>
      </c>
      <c r="C5" s="136"/>
      <c r="D5" s="136"/>
      <c r="E5" s="136"/>
      <c r="F5" s="136"/>
      <c r="G5" s="136"/>
      <c r="H5" s="136"/>
      <c r="I5" s="137"/>
    </row>
    <row r="6" ht="15.75" customHeight="1"/>
    <row r="7" ht="15.75" customHeight="1">
      <c r="B7" s="263" t="s">
        <v>314</v>
      </c>
      <c r="C7" s="264" t="s">
        <v>315</v>
      </c>
      <c r="D7" s="264" t="s">
        <v>316</v>
      </c>
      <c r="E7" s="265" t="s">
        <v>317</v>
      </c>
      <c r="F7" s="266" t="s">
        <v>318</v>
      </c>
      <c r="G7" s="265" t="s">
        <v>319</v>
      </c>
      <c r="H7" s="265" t="s">
        <v>320</v>
      </c>
      <c r="I7" s="267" t="s">
        <v>321</v>
      </c>
      <c r="J7" s="268"/>
      <c r="K7" s="268"/>
      <c r="L7" s="268"/>
      <c r="M7" s="268"/>
      <c r="N7" s="268"/>
      <c r="O7" s="268"/>
      <c r="P7" s="269"/>
    </row>
    <row r="8" ht="15.75" customHeight="1">
      <c r="B8" s="190"/>
      <c r="C8" s="258"/>
      <c r="D8" s="258"/>
      <c r="E8" s="258"/>
      <c r="F8" s="258"/>
      <c r="G8" s="258"/>
      <c r="H8" s="258"/>
      <c r="I8" s="191"/>
      <c r="P8" s="270"/>
    </row>
    <row r="9" ht="15.75" customHeight="1">
      <c r="B9" s="271" t="s">
        <v>322</v>
      </c>
      <c r="C9" s="272">
        <v>8775.0</v>
      </c>
      <c r="D9" s="272">
        <v>72637.0</v>
      </c>
      <c r="E9" s="273">
        <v>0.3</v>
      </c>
      <c r="F9" s="273">
        <f t="shared" ref="F9:F13" si="1">C9/D9</f>
        <v>0.1208062007</v>
      </c>
      <c r="G9" s="273">
        <f t="shared" ref="G9:G13" si="2">C9/(C9+D9)</f>
        <v>0.1077850931</v>
      </c>
      <c r="H9" s="274">
        <f>'Beta Calculation'!K4</f>
        <v>0.98885811</v>
      </c>
      <c r="I9" s="275">
        <f t="shared" ref="I9:I13" si="3">H9/(1+(1-E9)*F9)</f>
        <v>0.9117560601</v>
      </c>
      <c r="P9" s="270"/>
    </row>
    <row r="10" ht="15.75" customHeight="1">
      <c r="B10" s="276" t="s">
        <v>263</v>
      </c>
      <c r="C10" s="277">
        <v>250096.15</v>
      </c>
      <c r="D10" s="277">
        <v>328038.22</v>
      </c>
      <c r="E10" s="278">
        <v>0.3</v>
      </c>
      <c r="F10" s="278">
        <f t="shared" si="1"/>
        <v>0.7623994241</v>
      </c>
      <c r="G10" s="278">
        <f t="shared" si="2"/>
        <v>0.4325917347</v>
      </c>
      <c r="H10" s="279">
        <f>'Beta Calculation'!U15</f>
        <v>0.7795323503</v>
      </c>
      <c r="I10" s="280">
        <f t="shared" si="3"/>
        <v>0.5082758823</v>
      </c>
      <c r="P10" s="270"/>
    </row>
    <row r="11" ht="15.75" customHeight="1">
      <c r="B11" s="281" t="s">
        <v>323</v>
      </c>
      <c r="C11" s="277">
        <v>131030.21</v>
      </c>
      <c r="D11" s="277">
        <v>278320.57</v>
      </c>
      <c r="E11" s="282">
        <v>0.3</v>
      </c>
      <c r="F11" s="282">
        <f t="shared" si="1"/>
        <v>0.4707888102</v>
      </c>
      <c r="G11" s="282">
        <f t="shared" si="2"/>
        <v>0.3200927332</v>
      </c>
      <c r="H11" s="283">
        <f>'Beta Calculation'!U16</f>
        <v>0.4920100236</v>
      </c>
      <c r="I11" s="280">
        <f t="shared" si="3"/>
        <v>0.3700569528</v>
      </c>
      <c r="P11" s="270"/>
      <c r="R11" s="284"/>
      <c r="S11" s="284"/>
      <c r="T11" s="284"/>
      <c r="U11" s="284"/>
      <c r="V11" s="284"/>
      <c r="W11" s="284"/>
    </row>
    <row r="12" ht="15.75" customHeight="1">
      <c r="B12" s="276" t="s">
        <v>324</v>
      </c>
      <c r="C12" s="277">
        <v>80040.0</v>
      </c>
      <c r="D12" s="277">
        <v>164790.87</v>
      </c>
      <c r="E12" s="278">
        <v>0.3</v>
      </c>
      <c r="F12" s="278">
        <f t="shared" si="1"/>
        <v>0.48570652</v>
      </c>
      <c r="G12" s="278">
        <f t="shared" si="2"/>
        <v>0.3269195588</v>
      </c>
      <c r="H12" s="279">
        <f>'Beta Calculation'!U18</f>
        <v>1.065561573</v>
      </c>
      <c r="I12" s="280">
        <f t="shared" si="3"/>
        <v>0.7951984294</v>
      </c>
      <c r="P12" s="270"/>
      <c r="R12" s="65"/>
      <c r="S12" s="284"/>
      <c r="T12" s="65"/>
      <c r="W12" s="65"/>
    </row>
    <row r="13" ht="15.75" customHeight="1">
      <c r="B13" s="285" t="s">
        <v>325</v>
      </c>
      <c r="C13" s="286">
        <v>39556.78</v>
      </c>
      <c r="D13" s="286">
        <v>85935.27</v>
      </c>
      <c r="E13" s="287">
        <v>0.3</v>
      </c>
      <c r="F13" s="287">
        <f t="shared" si="1"/>
        <v>0.460309021</v>
      </c>
      <c r="G13" s="287">
        <f t="shared" si="2"/>
        <v>0.3152134338</v>
      </c>
      <c r="H13" s="288">
        <f>'Beta Calculation'!U17</f>
        <v>0.8294962579</v>
      </c>
      <c r="I13" s="289">
        <f t="shared" si="3"/>
        <v>0.627352914</v>
      </c>
      <c r="P13" s="270"/>
      <c r="R13" s="65"/>
      <c r="S13" s="284"/>
      <c r="T13" s="65"/>
      <c r="W13" s="65"/>
    </row>
    <row r="14" ht="15.75" customHeight="1">
      <c r="J14" s="290"/>
      <c r="P14" s="270"/>
      <c r="R14" s="65"/>
      <c r="S14" s="284"/>
      <c r="T14" s="65"/>
      <c r="U14" s="65"/>
      <c r="V14" s="65"/>
      <c r="W14" s="65"/>
    </row>
    <row r="15" ht="15.75" customHeight="1">
      <c r="D15" s="291" t="s">
        <v>180</v>
      </c>
      <c r="E15" s="292">
        <f t="shared" ref="E15:I15" si="4">AVERAGE(E9:E13)</f>
        <v>0.3</v>
      </c>
      <c r="F15" s="292">
        <f t="shared" si="4"/>
        <v>0.4600019952</v>
      </c>
      <c r="G15" s="292">
        <f t="shared" si="4"/>
        <v>0.3005205107</v>
      </c>
      <c r="H15" s="293">
        <f t="shared" si="4"/>
        <v>0.8310916629</v>
      </c>
      <c r="I15" s="294">
        <f t="shared" si="4"/>
        <v>0.6425280477</v>
      </c>
      <c r="P15" s="270"/>
      <c r="R15" s="65"/>
      <c r="S15" s="284"/>
      <c r="T15" s="65"/>
      <c r="W15" s="65"/>
    </row>
    <row r="16" ht="15.75" customHeight="1">
      <c r="D16" s="281" t="s">
        <v>326</v>
      </c>
      <c r="E16" s="295">
        <f t="shared" ref="E16:I16" si="5">MEDIAN(E9:E13)</f>
        <v>0.3</v>
      </c>
      <c r="F16" s="295">
        <f t="shared" si="5"/>
        <v>0.4707888102</v>
      </c>
      <c r="G16" s="295">
        <f t="shared" si="5"/>
        <v>0.3200927332</v>
      </c>
      <c r="H16" s="296">
        <f t="shared" si="5"/>
        <v>0.8294962579</v>
      </c>
      <c r="I16" s="297">
        <f t="shared" si="5"/>
        <v>0.627352914</v>
      </c>
      <c r="J16" s="298"/>
      <c r="K16" s="298"/>
      <c r="L16" s="298"/>
      <c r="M16" s="298"/>
      <c r="N16" s="298"/>
      <c r="O16" s="298"/>
      <c r="P16" s="299"/>
      <c r="R16" s="65"/>
      <c r="S16" s="284"/>
      <c r="T16" s="65"/>
      <c r="W16" s="65"/>
    </row>
    <row r="17" ht="15.75" customHeight="1">
      <c r="D17" s="300" t="s">
        <v>327</v>
      </c>
      <c r="E17" s="301"/>
      <c r="F17" s="301"/>
      <c r="G17" s="301"/>
      <c r="H17" s="301"/>
      <c r="I17" s="302"/>
      <c r="R17" s="65"/>
      <c r="S17" s="284"/>
      <c r="T17" s="65"/>
      <c r="U17" s="65"/>
      <c r="V17" s="65"/>
      <c r="W17" s="65"/>
    </row>
    <row r="18" ht="15.75" customHeight="1">
      <c r="R18" s="65"/>
      <c r="S18" s="284"/>
      <c r="T18" s="65"/>
      <c r="U18" s="65"/>
      <c r="V18" s="65"/>
      <c r="W18" s="65"/>
    </row>
    <row r="19" ht="15.75" customHeight="1">
      <c r="R19" s="65"/>
      <c r="S19" s="284"/>
      <c r="T19" s="65"/>
      <c r="U19" s="65"/>
      <c r="V19" s="65"/>
      <c r="W19" s="65"/>
    </row>
    <row r="20" ht="15.75" customHeight="1">
      <c r="R20" s="65"/>
      <c r="S20" s="284"/>
      <c r="T20" s="65"/>
      <c r="W20" s="65"/>
    </row>
    <row r="21" ht="15.75" customHeight="1">
      <c r="R21" s="65"/>
      <c r="S21" s="284"/>
      <c r="T21" s="65"/>
      <c r="U21" s="65"/>
      <c r="V21" s="65"/>
      <c r="W21" s="65"/>
    </row>
    <row r="22" ht="15.75" customHeight="1">
      <c r="R22" s="65"/>
      <c r="S22" s="284"/>
      <c r="T22" s="65"/>
      <c r="U22" s="65"/>
      <c r="V22" s="65"/>
      <c r="W22" s="65"/>
    </row>
    <row r="23" ht="15.75" customHeight="1">
      <c r="B23" s="303"/>
      <c r="C23" s="258"/>
      <c r="D23" s="258"/>
      <c r="E23" s="258" t="s">
        <v>328</v>
      </c>
      <c r="F23" s="303"/>
      <c r="H23" s="304" t="s">
        <v>329</v>
      </c>
      <c r="I23" s="3"/>
      <c r="J23" s="305">
        <f>I15</f>
        <v>0.6425280477</v>
      </c>
    </row>
    <row r="24" ht="15.75" customHeight="1">
      <c r="B24" s="303"/>
      <c r="C24" s="258" t="s">
        <v>330</v>
      </c>
      <c r="D24" s="306">
        <v>8775.0</v>
      </c>
      <c r="E24" s="307">
        <f>D24/D26</f>
        <v>0.1077850931</v>
      </c>
      <c r="F24" s="308"/>
      <c r="H24" s="304" t="s">
        <v>331</v>
      </c>
      <c r="I24" s="3"/>
      <c r="J24" s="309">
        <f>E28</f>
        <v>0.1208062007</v>
      </c>
    </row>
    <row r="25" ht="15.75" customHeight="1">
      <c r="B25" s="303"/>
      <c r="C25" s="258" t="s">
        <v>332</v>
      </c>
      <c r="D25" s="310">
        <v>72637.0</v>
      </c>
      <c r="E25" s="307">
        <f>D25/D26</f>
        <v>0.8922149069</v>
      </c>
      <c r="F25" s="308"/>
      <c r="H25" s="311" t="s">
        <v>333</v>
      </c>
      <c r="I25" s="3"/>
      <c r="J25" s="307">
        <f>E15</f>
        <v>0.3</v>
      </c>
    </row>
    <row r="26" ht="15.75" customHeight="1">
      <c r="B26" s="303"/>
      <c r="C26" s="258" t="s">
        <v>334</v>
      </c>
      <c r="D26" s="258">
        <f t="shared" ref="D26:E26" si="6">D24+D25</f>
        <v>81412</v>
      </c>
      <c r="E26" s="307">
        <f t="shared" si="6"/>
        <v>1</v>
      </c>
      <c r="F26" s="308"/>
      <c r="H26" s="312" t="s">
        <v>320</v>
      </c>
      <c r="I26" s="3"/>
      <c r="J26" s="313">
        <f>J23*(1+(1-E15)*J24)</f>
        <v>0.6968630083</v>
      </c>
    </row>
    <row r="27" ht="15.75" customHeight="1"/>
    <row r="28" ht="15.75" customHeight="1">
      <c r="C28" s="314" t="s">
        <v>335</v>
      </c>
      <c r="D28" s="3"/>
      <c r="E28" s="315">
        <f>E24/E25</f>
        <v>0.1208062007</v>
      </c>
      <c r="H28" s="311" t="s">
        <v>336</v>
      </c>
      <c r="I28" s="3"/>
      <c r="J28" s="316">
        <v>0.06316</v>
      </c>
      <c r="L28" s="317"/>
      <c r="M28" s="317"/>
    </row>
    <row r="29" ht="15.75" customHeight="1">
      <c r="H29" s="318" t="s">
        <v>337</v>
      </c>
      <c r="I29" s="3"/>
      <c r="J29" s="319">
        <v>0.16624799999999998</v>
      </c>
      <c r="L29" s="320"/>
      <c r="M29" s="317"/>
    </row>
    <row r="30" ht="15.75" customHeight="1">
      <c r="B30" s="321"/>
      <c r="C30" s="321"/>
      <c r="D30" s="321"/>
      <c r="E30" s="322"/>
      <c r="F30" s="322"/>
      <c r="H30" s="311" t="s">
        <v>338</v>
      </c>
      <c r="I30" s="3"/>
      <c r="J30" s="307">
        <f>J29-J28</f>
        <v>0.103088</v>
      </c>
    </row>
    <row r="31" ht="15.75" customHeight="1">
      <c r="B31" s="323"/>
      <c r="H31" s="312" t="s">
        <v>339</v>
      </c>
      <c r="I31" s="3"/>
      <c r="J31" s="324">
        <f>J28+J30*J26</f>
        <v>0.1349982138</v>
      </c>
    </row>
    <row r="32" ht="15.75" customHeight="1">
      <c r="B32" s="323"/>
      <c r="H32" s="325" t="s">
        <v>340</v>
      </c>
      <c r="I32" s="258"/>
      <c r="J32" s="25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26:I26"/>
    <mergeCell ref="H28:I28"/>
    <mergeCell ref="H29:I29"/>
    <mergeCell ref="H30:I30"/>
    <mergeCell ref="H31:I31"/>
    <mergeCell ref="A1:I3"/>
    <mergeCell ref="B5:I5"/>
    <mergeCell ref="D17:I17"/>
    <mergeCell ref="H23:I23"/>
    <mergeCell ref="H24:I24"/>
    <mergeCell ref="H25:I25"/>
    <mergeCell ref="C28:D28"/>
  </mergeCells>
  <hyperlinks>
    <hyperlink r:id="rId1" location="quarters" ref="B9"/>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2" width="10.56"/>
    <col customWidth="1" min="13" max="13" width="17.0"/>
    <col customWidth="1" min="14" max="14" width="26.11"/>
    <col customWidth="1" min="15" max="15" width="29.44"/>
    <col customWidth="1" min="16" max="16" width="27.89"/>
    <col customWidth="1" min="17" max="17" width="30.78"/>
    <col customWidth="1" min="18" max="18" width="13.44"/>
    <col customWidth="1" min="19" max="26" width="10.56"/>
  </cols>
  <sheetData>
    <row r="1" ht="15.75" customHeight="1">
      <c r="B1" s="326" t="s">
        <v>341</v>
      </c>
      <c r="C1" s="10"/>
      <c r="D1" s="10"/>
      <c r="E1" s="10"/>
      <c r="F1" s="10"/>
      <c r="G1" s="10"/>
      <c r="H1" s="10"/>
      <c r="I1" s="10"/>
      <c r="J1" s="11"/>
    </row>
    <row r="2" ht="15.75" customHeight="1">
      <c r="B2" s="12"/>
      <c r="J2" s="13"/>
    </row>
    <row r="3" ht="34.5" customHeight="1">
      <c r="B3" s="14"/>
      <c r="C3" s="15"/>
      <c r="D3" s="15"/>
      <c r="E3" s="15"/>
      <c r="F3" s="15"/>
      <c r="G3" s="15"/>
      <c r="H3" s="15"/>
      <c r="I3" s="15"/>
      <c r="J3" s="16"/>
    </row>
    <row r="4" ht="15.75" customHeight="1">
      <c r="B4" s="327"/>
    </row>
    <row r="5" ht="15.75" customHeight="1"/>
    <row r="6" ht="15.75" customHeight="1">
      <c r="B6" s="328" t="s">
        <v>342</v>
      </c>
    </row>
    <row r="7" ht="15.75" customHeight="1"/>
    <row r="8" ht="15.75" customHeight="1">
      <c r="A8" s="94"/>
      <c r="B8" s="329" t="s">
        <v>343</v>
      </c>
      <c r="C8" s="2"/>
      <c r="D8" s="2"/>
      <c r="E8" s="3"/>
      <c r="G8" s="330" t="s">
        <v>344</v>
      </c>
      <c r="H8" s="331"/>
      <c r="I8" s="331"/>
      <c r="J8" s="331"/>
    </row>
    <row r="9" ht="15.75" customHeight="1">
      <c r="B9" s="332" t="s">
        <v>345</v>
      </c>
      <c r="C9" s="332"/>
      <c r="D9" s="332"/>
      <c r="E9" s="332"/>
      <c r="F9" s="333"/>
      <c r="G9" s="332" t="s">
        <v>346</v>
      </c>
      <c r="H9" s="334"/>
      <c r="I9" s="252"/>
      <c r="J9" s="252"/>
      <c r="M9" s="335" t="s">
        <v>347</v>
      </c>
      <c r="N9" s="335"/>
      <c r="O9" s="335"/>
      <c r="P9" s="335"/>
      <c r="Q9" s="335"/>
    </row>
    <row r="10" ht="15.75" customHeight="1">
      <c r="B10" s="332" t="s">
        <v>348</v>
      </c>
      <c r="C10" s="332" t="s">
        <v>349</v>
      </c>
      <c r="D10" s="332" t="s">
        <v>350</v>
      </c>
      <c r="E10" s="332" t="s">
        <v>351</v>
      </c>
      <c r="F10" s="333"/>
      <c r="G10" s="334" t="s">
        <v>352</v>
      </c>
      <c r="H10" s="334" t="s">
        <v>349</v>
      </c>
      <c r="I10" s="334" t="s">
        <v>350</v>
      </c>
      <c r="J10" s="334" t="s">
        <v>351</v>
      </c>
      <c r="M10" s="336" t="s">
        <v>353</v>
      </c>
      <c r="N10" s="337">
        <v>0.0</v>
      </c>
      <c r="O10" s="337">
        <v>0.0433</v>
      </c>
      <c r="P10" s="337">
        <v>0.0</v>
      </c>
      <c r="Q10" s="338">
        <v>0.25</v>
      </c>
    </row>
    <row r="11" ht="15.75" customHeight="1">
      <c r="B11" s="334">
        <v>-100000.0</v>
      </c>
      <c r="C11" s="334">
        <v>0.199999</v>
      </c>
      <c r="D11" s="339" t="s">
        <v>354</v>
      </c>
      <c r="E11" s="340">
        <v>0.19</v>
      </c>
      <c r="F11" s="333"/>
      <c r="G11" s="334">
        <v>-100000.0</v>
      </c>
      <c r="H11" s="334">
        <v>0.049999</v>
      </c>
      <c r="I11" s="339" t="s">
        <v>354</v>
      </c>
      <c r="J11" s="341">
        <v>0.19</v>
      </c>
      <c r="M11" s="336" t="s">
        <v>355</v>
      </c>
      <c r="N11" s="342">
        <v>0.0218</v>
      </c>
      <c r="O11" s="337">
        <v>0.0726</v>
      </c>
      <c r="P11" s="337">
        <v>0.0293</v>
      </c>
      <c r="Q11" s="338">
        <v>0.3</v>
      </c>
    </row>
    <row r="12" ht="15.75" customHeight="1">
      <c r="B12" s="334">
        <v>0.2</v>
      </c>
      <c r="C12" s="334">
        <v>0.649999</v>
      </c>
      <c r="D12" s="339" t="s">
        <v>356</v>
      </c>
      <c r="E12" s="340">
        <v>0.155</v>
      </c>
      <c r="F12" s="333"/>
      <c r="G12" s="334">
        <v>0.05</v>
      </c>
      <c r="H12" s="334">
        <v>0.099999</v>
      </c>
      <c r="I12" s="339" t="s">
        <v>356</v>
      </c>
      <c r="J12" s="341">
        <v>0.155</v>
      </c>
      <c r="M12" s="343" t="s">
        <v>357</v>
      </c>
      <c r="N12" s="344"/>
      <c r="O12" s="345" t="s">
        <v>358</v>
      </c>
      <c r="P12" s="345" t="s">
        <v>359</v>
      </c>
      <c r="Q12" s="346" t="s">
        <v>360</v>
      </c>
    </row>
    <row r="13" ht="15.75" customHeight="1">
      <c r="B13" s="334">
        <v>0.65</v>
      </c>
      <c r="C13" s="334">
        <v>0.799999</v>
      </c>
      <c r="D13" s="339" t="s">
        <v>361</v>
      </c>
      <c r="E13" s="340">
        <v>0.101</v>
      </c>
      <c r="F13" s="333"/>
      <c r="G13" s="334">
        <v>0.1</v>
      </c>
      <c r="H13" s="334">
        <v>0.199999</v>
      </c>
      <c r="I13" s="339" t="s">
        <v>361</v>
      </c>
      <c r="J13" s="341">
        <v>0.101</v>
      </c>
      <c r="P13" s="347"/>
    </row>
    <row r="14" ht="15.75" customHeight="1">
      <c r="B14" s="334">
        <v>0.8</v>
      </c>
      <c r="C14" s="334">
        <v>1.249999</v>
      </c>
      <c r="D14" s="339" t="s">
        <v>362</v>
      </c>
      <c r="E14" s="340">
        <v>0.0728</v>
      </c>
      <c r="F14" s="333"/>
      <c r="G14" s="334">
        <v>0.2</v>
      </c>
      <c r="H14" s="334">
        <v>0.299999</v>
      </c>
      <c r="I14" s="339" t="s">
        <v>362</v>
      </c>
      <c r="J14" s="341">
        <v>0.0728</v>
      </c>
      <c r="P14" s="347"/>
    </row>
    <row r="15" ht="15.75" customHeight="1">
      <c r="B15" s="334">
        <v>1.25</v>
      </c>
      <c r="C15" s="334">
        <v>1.499999</v>
      </c>
      <c r="D15" s="339" t="s">
        <v>363</v>
      </c>
      <c r="E15" s="340">
        <v>0.0442</v>
      </c>
      <c r="F15" s="333"/>
      <c r="G15" s="334">
        <v>0.3</v>
      </c>
      <c r="H15" s="334">
        <v>0.399999</v>
      </c>
      <c r="I15" s="339" t="s">
        <v>363</v>
      </c>
      <c r="J15" s="341">
        <v>0.0442</v>
      </c>
      <c r="L15" s="252" t="s">
        <v>364</v>
      </c>
      <c r="M15" s="348" t="s">
        <v>365</v>
      </c>
      <c r="N15" s="349" t="s">
        <v>366</v>
      </c>
      <c r="O15" s="350">
        <f>'Peer Comparison &amp; COE'!J28+COD!E23+COD!N11</f>
        <v>0.09266</v>
      </c>
      <c r="P15" s="351" t="s">
        <v>367</v>
      </c>
      <c r="Q15" s="2"/>
      <c r="R15" s="2"/>
      <c r="S15" s="3"/>
    </row>
    <row r="16" ht="15.75" customHeight="1">
      <c r="B16" s="334">
        <v>1.5</v>
      </c>
      <c r="C16" s="334">
        <v>1.749999</v>
      </c>
      <c r="D16" s="339" t="s">
        <v>368</v>
      </c>
      <c r="E16" s="340">
        <v>0.03</v>
      </c>
      <c r="F16" s="333"/>
      <c r="G16" s="334">
        <v>0.4</v>
      </c>
      <c r="H16" s="334">
        <v>0.499999</v>
      </c>
      <c r="I16" s="339" t="s">
        <v>368</v>
      </c>
      <c r="J16" s="341">
        <v>0.03</v>
      </c>
      <c r="L16" s="252"/>
      <c r="M16" s="348" t="s">
        <v>369</v>
      </c>
      <c r="N16" s="252"/>
      <c r="O16" s="252"/>
      <c r="P16" s="341"/>
      <c r="Q16" s="252"/>
      <c r="R16" s="252"/>
      <c r="S16" s="252"/>
    </row>
    <row r="17" ht="15.75" customHeight="1">
      <c r="B17" s="334">
        <v>1.75</v>
      </c>
      <c r="C17" s="334">
        <v>1.999999</v>
      </c>
      <c r="D17" s="339" t="s">
        <v>370</v>
      </c>
      <c r="E17" s="340">
        <v>0.0261</v>
      </c>
      <c r="F17" s="333"/>
      <c r="G17" s="334">
        <v>0.5</v>
      </c>
      <c r="H17" s="334">
        <v>0.599999</v>
      </c>
      <c r="I17" s="339" t="s">
        <v>370</v>
      </c>
      <c r="J17" s="341">
        <v>0.0261</v>
      </c>
      <c r="L17" s="252" t="s">
        <v>371</v>
      </c>
      <c r="M17" s="348" t="s">
        <v>179</v>
      </c>
      <c r="N17" s="252"/>
      <c r="O17" s="352">
        <f>('Profit and Loss Statement'!N14/'Balance Sheet'!N5)*100</f>
        <v>13.68190357</v>
      </c>
      <c r="P17" s="351" t="s">
        <v>372</v>
      </c>
      <c r="Q17" s="2"/>
      <c r="R17" s="3"/>
      <c r="S17" s="252"/>
    </row>
    <row r="18" ht="15.75" customHeight="1">
      <c r="B18" s="334">
        <v>2.0</v>
      </c>
      <c r="C18" s="334">
        <v>2.2499999</v>
      </c>
      <c r="D18" s="339" t="s">
        <v>373</v>
      </c>
      <c r="E18" s="340">
        <v>0.0183</v>
      </c>
      <c r="F18" s="333"/>
      <c r="G18" s="334">
        <v>0.6</v>
      </c>
      <c r="H18" s="334">
        <v>0.749999</v>
      </c>
      <c r="I18" s="339" t="s">
        <v>373</v>
      </c>
      <c r="J18" s="341">
        <v>0.0183</v>
      </c>
      <c r="L18" s="252"/>
      <c r="M18" s="252"/>
      <c r="N18" s="252"/>
      <c r="O18" s="252"/>
      <c r="P18" s="341"/>
      <c r="Q18" s="252"/>
      <c r="R18" s="252"/>
      <c r="S18" s="252"/>
    </row>
    <row r="19" ht="15.75" customHeight="1">
      <c r="B19" s="334">
        <v>2.25</v>
      </c>
      <c r="C19" s="334">
        <v>2.49999</v>
      </c>
      <c r="D19" s="339" t="s">
        <v>374</v>
      </c>
      <c r="E19" s="340">
        <v>0.0155</v>
      </c>
      <c r="F19" s="333"/>
      <c r="G19" s="334">
        <v>0.75</v>
      </c>
      <c r="H19" s="334">
        <v>0.899999</v>
      </c>
      <c r="I19" s="339" t="s">
        <v>374</v>
      </c>
      <c r="J19" s="341">
        <v>0.0155</v>
      </c>
      <c r="L19" s="353"/>
      <c r="M19" s="353"/>
      <c r="N19" s="354" t="s">
        <v>375</v>
      </c>
      <c r="O19" s="355">
        <f>O15*(1-0.3)</f>
        <v>0.064862</v>
      </c>
      <c r="P19" s="252"/>
      <c r="Q19" s="252"/>
      <c r="R19" s="252"/>
      <c r="S19" s="252"/>
    </row>
    <row r="20" ht="15.75" customHeight="1">
      <c r="B20" s="334">
        <v>2.5</v>
      </c>
      <c r="C20" s="334">
        <v>2.999999</v>
      </c>
      <c r="D20" s="339" t="s">
        <v>376</v>
      </c>
      <c r="E20" s="340">
        <v>0.012</v>
      </c>
      <c r="F20" s="333"/>
      <c r="G20" s="334">
        <v>0.9</v>
      </c>
      <c r="H20" s="334">
        <v>1.199999</v>
      </c>
      <c r="I20" s="339" t="s">
        <v>376</v>
      </c>
      <c r="J20" s="341">
        <v>0.012</v>
      </c>
    </row>
    <row r="21" ht="15.75" customHeight="1">
      <c r="B21" s="334">
        <v>3.0</v>
      </c>
      <c r="C21" s="334">
        <v>4.249999</v>
      </c>
      <c r="D21" s="339" t="s">
        <v>377</v>
      </c>
      <c r="E21" s="340">
        <v>0.0095</v>
      </c>
      <c r="F21" s="333"/>
      <c r="G21" s="334">
        <v>1.2</v>
      </c>
      <c r="H21" s="334">
        <v>1.49999</v>
      </c>
      <c r="I21" s="339" t="s">
        <v>377</v>
      </c>
      <c r="J21" s="341">
        <v>0.0095</v>
      </c>
    </row>
    <row r="22" ht="15.75" customHeight="1">
      <c r="B22" s="334">
        <v>4.25</v>
      </c>
      <c r="C22" s="334">
        <v>5.499999</v>
      </c>
      <c r="D22" s="339" t="s">
        <v>378</v>
      </c>
      <c r="E22" s="340">
        <v>0.0085</v>
      </c>
      <c r="F22" s="333"/>
      <c r="G22" s="334">
        <v>1.5</v>
      </c>
      <c r="H22" s="334">
        <v>1.99999</v>
      </c>
      <c r="I22" s="339" t="s">
        <v>378</v>
      </c>
      <c r="J22" s="341">
        <v>0.0085</v>
      </c>
    </row>
    <row r="23" ht="15.75" customHeight="1">
      <c r="B23" s="356">
        <v>5.5</v>
      </c>
      <c r="C23" s="356">
        <v>6.499999</v>
      </c>
      <c r="D23" s="357" t="s">
        <v>379</v>
      </c>
      <c r="E23" s="358">
        <v>0.0077</v>
      </c>
      <c r="F23" s="333"/>
      <c r="G23" s="334">
        <v>2.0</v>
      </c>
      <c r="H23" s="334">
        <v>2.49999</v>
      </c>
      <c r="I23" s="339" t="s">
        <v>379</v>
      </c>
      <c r="J23" s="341">
        <v>0.0077</v>
      </c>
    </row>
    <row r="24" ht="15.75" customHeight="1">
      <c r="B24" s="334">
        <v>6.5</v>
      </c>
      <c r="C24" s="334">
        <v>8.499999</v>
      </c>
      <c r="D24" s="339" t="s">
        <v>380</v>
      </c>
      <c r="E24" s="340">
        <v>0.006</v>
      </c>
      <c r="F24" s="333"/>
      <c r="G24" s="334">
        <v>2.5</v>
      </c>
      <c r="H24" s="334">
        <v>2.99999</v>
      </c>
      <c r="I24" s="339" t="s">
        <v>380</v>
      </c>
      <c r="J24" s="341">
        <v>0.006</v>
      </c>
    </row>
    <row r="25" ht="15.75" customHeight="1">
      <c r="B25" s="334">
        <v>8.5</v>
      </c>
      <c r="C25" s="334">
        <v>100000.0</v>
      </c>
      <c r="D25" s="339" t="s">
        <v>381</v>
      </c>
      <c r="E25" s="340">
        <v>0.0045</v>
      </c>
      <c r="F25" s="333"/>
      <c r="G25" s="334">
        <v>3.0</v>
      </c>
      <c r="H25" s="334">
        <v>100000.0</v>
      </c>
      <c r="I25" s="339" t="s">
        <v>381</v>
      </c>
      <c r="J25" s="341">
        <v>0.0045</v>
      </c>
    </row>
    <row r="26" ht="15.75" customHeight="1">
      <c r="B26" s="333"/>
      <c r="C26" s="333"/>
      <c r="D26" s="333"/>
      <c r="E26" s="333"/>
      <c r="F26" s="333"/>
      <c r="G26" s="333"/>
      <c r="H26" s="333"/>
      <c r="I26" s="333"/>
      <c r="J26" s="333"/>
    </row>
    <row r="27" ht="15.75" customHeight="1">
      <c r="A27" s="94"/>
      <c r="B27" s="330" t="s">
        <v>382</v>
      </c>
      <c r="C27" s="359"/>
      <c r="D27" s="359"/>
      <c r="E27" s="359"/>
      <c r="F27" s="333"/>
      <c r="G27" s="333"/>
      <c r="H27" s="333"/>
    </row>
    <row r="28" ht="15.75" customHeight="1">
      <c r="B28" s="332" t="s">
        <v>345</v>
      </c>
      <c r="C28" s="334"/>
      <c r="D28" s="334"/>
      <c r="E28" s="334"/>
      <c r="F28" s="333"/>
      <c r="G28" s="333"/>
      <c r="Q28" s="360"/>
    </row>
    <row r="29" ht="15.75" customHeight="1">
      <c r="B29" s="334" t="s">
        <v>352</v>
      </c>
      <c r="C29" s="334" t="s">
        <v>349</v>
      </c>
      <c r="D29" s="334" t="s">
        <v>350</v>
      </c>
      <c r="E29" s="334" t="s">
        <v>351</v>
      </c>
      <c r="F29" s="333"/>
      <c r="G29" s="333"/>
    </row>
    <row r="30" ht="15.75" customHeight="1">
      <c r="B30" s="334">
        <v>-100000.0</v>
      </c>
      <c r="C30" s="334">
        <v>0.499999</v>
      </c>
      <c r="D30" s="339" t="s">
        <v>354</v>
      </c>
      <c r="E30" s="340">
        <v>0.19</v>
      </c>
      <c r="F30" s="333"/>
      <c r="G30" s="333"/>
    </row>
    <row r="31" ht="15.75" customHeight="1">
      <c r="B31" s="334">
        <v>0.5</v>
      </c>
      <c r="C31" s="334">
        <v>0.799999</v>
      </c>
      <c r="D31" s="339" t="s">
        <v>356</v>
      </c>
      <c r="E31" s="340">
        <v>0.155</v>
      </c>
      <c r="F31" s="333"/>
      <c r="G31" s="333"/>
    </row>
    <row r="32" ht="15.75" customHeight="1">
      <c r="B32" s="334">
        <v>0.8</v>
      </c>
      <c r="C32" s="334">
        <v>1.249999</v>
      </c>
      <c r="D32" s="339" t="s">
        <v>361</v>
      </c>
      <c r="E32" s="340">
        <v>0.101</v>
      </c>
      <c r="F32" s="333"/>
      <c r="G32" s="333"/>
    </row>
    <row r="33" ht="15.75" customHeight="1">
      <c r="B33" s="334">
        <v>1.25</v>
      </c>
      <c r="C33" s="334">
        <v>1.499999</v>
      </c>
      <c r="D33" s="339" t="s">
        <v>362</v>
      </c>
      <c r="E33" s="340">
        <v>0.0728</v>
      </c>
      <c r="F33" s="333"/>
      <c r="G33" s="333"/>
      <c r="J33" s="361"/>
    </row>
    <row r="34" ht="15.75" customHeight="1">
      <c r="B34" s="334">
        <v>1.5</v>
      </c>
      <c r="C34" s="334">
        <v>1.999999</v>
      </c>
      <c r="D34" s="339" t="s">
        <v>363</v>
      </c>
      <c r="E34" s="340">
        <v>0.0442</v>
      </c>
      <c r="F34" s="333"/>
      <c r="G34" s="333"/>
    </row>
    <row r="35" ht="15.75" customHeight="1">
      <c r="B35" s="334">
        <v>2.0</v>
      </c>
      <c r="C35" s="334">
        <v>2.499999</v>
      </c>
      <c r="D35" s="339" t="s">
        <v>368</v>
      </c>
      <c r="E35" s="340">
        <v>0.03</v>
      </c>
      <c r="F35" s="333"/>
      <c r="G35" s="333"/>
    </row>
    <row r="36" ht="15.75" customHeight="1">
      <c r="B36" s="334">
        <v>2.5</v>
      </c>
      <c r="C36" s="334">
        <v>2.999999</v>
      </c>
      <c r="D36" s="339" t="s">
        <v>370</v>
      </c>
      <c r="E36" s="340">
        <v>0.0261</v>
      </c>
      <c r="F36" s="333"/>
      <c r="G36" s="333"/>
    </row>
    <row r="37" ht="15.75" customHeight="1">
      <c r="B37" s="334">
        <v>3.0</v>
      </c>
      <c r="C37" s="334">
        <v>3.499999</v>
      </c>
      <c r="D37" s="339" t="s">
        <v>373</v>
      </c>
      <c r="E37" s="340">
        <v>0.0183</v>
      </c>
      <c r="F37" s="333"/>
      <c r="G37" s="333"/>
    </row>
    <row r="38" ht="15.75" customHeight="1">
      <c r="B38" s="334">
        <v>3.5</v>
      </c>
      <c r="C38" s="334">
        <v>3.9999999</v>
      </c>
      <c r="D38" s="339" t="s">
        <v>374</v>
      </c>
      <c r="E38" s="340">
        <v>0.0155</v>
      </c>
      <c r="F38" s="333"/>
      <c r="G38" s="333"/>
    </row>
    <row r="39" ht="15.75" customHeight="1">
      <c r="B39" s="334">
        <v>4.0</v>
      </c>
      <c r="C39" s="334">
        <v>4.499999</v>
      </c>
      <c r="D39" s="339" t="s">
        <v>376</v>
      </c>
      <c r="E39" s="340">
        <v>0.012</v>
      </c>
      <c r="F39" s="333"/>
      <c r="G39" s="333"/>
    </row>
    <row r="40" ht="15.75" customHeight="1">
      <c r="B40" s="334">
        <v>4.5</v>
      </c>
      <c r="C40" s="334">
        <v>5.999999</v>
      </c>
      <c r="D40" s="339" t="s">
        <v>377</v>
      </c>
      <c r="E40" s="340">
        <v>0.0095</v>
      </c>
      <c r="F40" s="333"/>
      <c r="G40" s="333"/>
    </row>
    <row r="41" ht="15.75" customHeight="1">
      <c r="B41" s="334">
        <v>6.0</v>
      </c>
      <c r="C41" s="334">
        <v>7.499999</v>
      </c>
      <c r="D41" s="339" t="s">
        <v>378</v>
      </c>
      <c r="E41" s="340">
        <v>0.0085</v>
      </c>
      <c r="F41" s="333"/>
      <c r="G41" s="333"/>
    </row>
    <row r="42" ht="15.75" customHeight="1">
      <c r="B42" s="334">
        <v>7.5</v>
      </c>
      <c r="C42" s="334">
        <v>9.499999</v>
      </c>
      <c r="D42" s="339" t="s">
        <v>379</v>
      </c>
      <c r="E42" s="340">
        <v>0.0077</v>
      </c>
      <c r="F42" s="333"/>
      <c r="G42" s="333"/>
    </row>
    <row r="43" ht="15.75" customHeight="1">
      <c r="B43" s="334">
        <v>9.5</v>
      </c>
      <c r="C43" s="334">
        <v>12.499999</v>
      </c>
      <c r="D43" s="339" t="s">
        <v>380</v>
      </c>
      <c r="E43" s="340">
        <v>0.006</v>
      </c>
      <c r="F43" s="333"/>
    </row>
    <row r="44" ht="15.75" customHeight="1">
      <c r="B44" s="334">
        <v>12.5</v>
      </c>
      <c r="C44" s="334">
        <v>100000.0</v>
      </c>
      <c r="D44" s="339" t="s">
        <v>381</v>
      </c>
      <c r="E44" s="340">
        <v>0.0045</v>
      </c>
      <c r="F44" s="333"/>
      <c r="G44" s="362"/>
      <c r="H44" s="362"/>
      <c r="I44" s="333"/>
      <c r="J44" s="333"/>
    </row>
    <row r="45" ht="15.75" customHeight="1"/>
    <row r="46" ht="15.75" customHeight="1">
      <c r="B46" s="363"/>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J3"/>
    <mergeCell ref="B8:E8"/>
    <mergeCell ref="M12:N12"/>
    <mergeCell ref="P15:S15"/>
    <mergeCell ref="P17:R17"/>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11"/>
    <col customWidth="1" min="2" max="2" width="31.44"/>
    <col customWidth="1" min="3" max="3" width="14.33"/>
    <col customWidth="1" min="4" max="4" width="16.67"/>
    <col customWidth="1" min="5" max="5" width="10.56"/>
    <col customWidth="1" min="6" max="6" width="11.78"/>
    <col customWidth="1" min="7" max="26" width="10.56"/>
  </cols>
  <sheetData>
    <row r="1" ht="42.0" customHeight="1">
      <c r="A1" s="364" t="s">
        <v>24</v>
      </c>
      <c r="B1" s="3"/>
      <c r="C1" s="323"/>
      <c r="D1" s="323"/>
      <c r="E1" s="323"/>
    </row>
    <row r="2" ht="30.0" customHeight="1">
      <c r="A2" s="248"/>
      <c r="B2" s="325"/>
      <c r="C2" s="323"/>
      <c r="D2" s="323"/>
      <c r="E2" s="323"/>
    </row>
    <row r="3" ht="28.5" customHeight="1">
      <c r="A3" s="365" t="s">
        <v>383</v>
      </c>
      <c r="B3" s="366">
        <f>'Peer Comparison &amp; COE'!E24</f>
        <v>0.1077850931</v>
      </c>
      <c r="C3" s="303"/>
    </row>
    <row r="4" ht="21.0" customHeight="1">
      <c r="A4" s="365" t="s">
        <v>384</v>
      </c>
      <c r="B4" s="367">
        <f>COD!O15</f>
        <v>0.09266</v>
      </c>
      <c r="C4" s="368"/>
    </row>
    <row r="5" ht="24.0" customHeight="1">
      <c r="A5" s="365" t="s">
        <v>385</v>
      </c>
      <c r="B5" s="366">
        <f>COD!O19</f>
        <v>0.064862</v>
      </c>
      <c r="C5" s="303"/>
    </row>
    <row r="6" ht="27.0" customHeight="1">
      <c r="A6" s="369" t="s">
        <v>386</v>
      </c>
      <c r="B6" s="3"/>
      <c r="C6" s="179"/>
      <c r="D6" s="179"/>
      <c r="H6" s="370"/>
      <c r="I6" s="323"/>
    </row>
    <row r="7" ht="15.75" customHeight="1">
      <c r="A7" s="365"/>
      <c r="B7" s="371"/>
      <c r="C7" s="303"/>
      <c r="H7" s="303"/>
    </row>
    <row r="8" ht="24.0" customHeight="1">
      <c r="A8" s="372"/>
      <c r="B8" s="372"/>
      <c r="C8" s="303"/>
      <c r="H8" s="323"/>
    </row>
    <row r="9" ht="31.5" customHeight="1">
      <c r="A9" s="365" t="s">
        <v>387</v>
      </c>
      <c r="B9" s="373">
        <f>'Peer Comparison &amp; COE'!E25</f>
        <v>0.8922149069</v>
      </c>
      <c r="C9" s="303"/>
    </row>
    <row r="10" ht="30.0" customHeight="1">
      <c r="A10" s="365" t="s">
        <v>388</v>
      </c>
      <c r="B10" s="366">
        <f>'Peer Comparison &amp; COE'!J31</f>
        <v>0.1349982138</v>
      </c>
    </row>
    <row r="11" ht="27.0" customHeight="1">
      <c r="A11" s="374" t="s">
        <v>389</v>
      </c>
      <c r="B11" s="13"/>
      <c r="C11" s="179"/>
      <c r="D11" s="179"/>
    </row>
    <row r="12" ht="33.0" customHeight="1">
      <c r="A12" s="375" t="s">
        <v>24</v>
      </c>
      <c r="B12" s="376">
        <f>B10*B9+B5*B3</f>
        <v>0.1274385755</v>
      </c>
      <c r="C12" s="303"/>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C4:F4"/>
    <mergeCell ref="A6:B6"/>
    <mergeCell ref="A11:B1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2.78"/>
    <col customWidth="1" min="2" max="2" width="27.11"/>
    <col customWidth="1" min="3" max="14" width="17.0"/>
    <col customWidth="1" min="15" max="15" width="10.56"/>
  </cols>
  <sheetData>
    <row r="1" ht="15.75" customHeight="1"/>
    <row r="2" ht="24.75" customHeight="1">
      <c r="B2" s="41"/>
      <c r="C2" s="21" t="s">
        <v>34</v>
      </c>
      <c r="D2" s="21" t="s">
        <v>35</v>
      </c>
      <c r="E2" s="21" t="s">
        <v>36</v>
      </c>
      <c r="F2" s="21" t="s">
        <v>37</v>
      </c>
      <c r="G2" s="21" t="s">
        <v>38</v>
      </c>
      <c r="H2" s="21" t="s">
        <v>39</v>
      </c>
      <c r="I2" s="21" t="s">
        <v>40</v>
      </c>
      <c r="J2" s="21" t="s">
        <v>41</v>
      </c>
      <c r="K2" s="21" t="s">
        <v>42</v>
      </c>
      <c r="L2" s="21" t="s">
        <v>43</v>
      </c>
      <c r="M2" s="21" t="s">
        <v>44</v>
      </c>
      <c r="N2" s="21" t="s">
        <v>45</v>
      </c>
    </row>
    <row r="3" ht="15.75" customHeight="1">
      <c r="B3" s="377" t="s">
        <v>46</v>
      </c>
      <c r="C3" s="23">
        <v>472.0</v>
      </c>
      <c r="D3" s="23">
        <v>472.0</v>
      </c>
      <c r="E3" s="23">
        <v>481.0</v>
      </c>
      <c r="F3" s="23">
        <v>481.0</v>
      </c>
      <c r="G3" s="23">
        <v>481.0</v>
      </c>
      <c r="H3" s="23">
        <v>481.0</v>
      </c>
      <c r="I3" s="23">
        <v>481.0</v>
      </c>
      <c r="J3" s="23">
        <v>481.0</v>
      </c>
      <c r="K3" s="23">
        <v>481.0</v>
      </c>
      <c r="L3" s="23">
        <v>481.0</v>
      </c>
      <c r="M3" s="23">
        <v>481.0</v>
      </c>
      <c r="N3" s="23">
        <v>504.0</v>
      </c>
    </row>
    <row r="4" ht="15.75" customHeight="1">
      <c r="B4" s="377" t="s">
        <v>47</v>
      </c>
      <c r="C4" s="24">
        <v>5704.0</v>
      </c>
      <c r="D4" s="24">
        <v>6436.0</v>
      </c>
      <c r="E4" s="24">
        <v>5978.0</v>
      </c>
      <c r="F4" s="24">
        <v>6404.0</v>
      </c>
      <c r="G4" s="24">
        <v>7212.0</v>
      </c>
      <c r="H4" s="24">
        <v>8456.0</v>
      </c>
      <c r="I4" s="24">
        <v>8707.0</v>
      </c>
      <c r="J4" s="24">
        <v>9771.0</v>
      </c>
      <c r="K4" s="24">
        <v>9485.0</v>
      </c>
      <c r="L4" s="24">
        <v>10539.0</v>
      </c>
      <c r="M4" s="24">
        <v>11558.0</v>
      </c>
      <c r="N4" s="24">
        <v>16952.0</v>
      </c>
    </row>
    <row r="5" ht="15.75" customHeight="1">
      <c r="B5" s="378" t="s">
        <v>48</v>
      </c>
      <c r="C5" s="26">
        <v>6149.0</v>
      </c>
      <c r="D5" s="26">
        <v>5629.0</v>
      </c>
      <c r="E5" s="26">
        <v>8392.0</v>
      </c>
      <c r="F5" s="26">
        <v>8666.0</v>
      </c>
      <c r="G5" s="26">
        <v>9216.0</v>
      </c>
      <c r="H5" s="26">
        <v>9116.0</v>
      </c>
      <c r="I5" s="26">
        <v>8340.0</v>
      </c>
      <c r="J5" s="26">
        <v>7200.0</v>
      </c>
      <c r="K5" s="26">
        <v>7908.0</v>
      </c>
      <c r="L5" s="26">
        <v>8430.0</v>
      </c>
      <c r="M5" s="26">
        <v>9744.0</v>
      </c>
      <c r="N5" s="26">
        <v>6388.0</v>
      </c>
    </row>
    <row r="6" ht="15.75" customHeight="1">
      <c r="B6" s="377" t="s">
        <v>49</v>
      </c>
      <c r="C6" s="26">
        <v>5594.0</v>
      </c>
      <c r="D6" s="26">
        <v>5019.0</v>
      </c>
      <c r="E6" s="26">
        <v>8096.0</v>
      </c>
      <c r="F6" s="26">
        <v>8112.0</v>
      </c>
      <c r="G6" s="26">
        <v>8502.0</v>
      </c>
      <c r="H6" s="26">
        <v>8033.0</v>
      </c>
      <c r="I6" s="26">
        <v>7296.0</v>
      </c>
      <c r="J6" s="26">
        <v>6071.0</v>
      </c>
      <c r="K6" s="26">
        <v>6120.0</v>
      </c>
      <c r="L6" s="26">
        <v>7045.0</v>
      </c>
      <c r="M6" s="26">
        <v>8285.0</v>
      </c>
      <c r="N6" s="26">
        <v>5236.0</v>
      </c>
    </row>
    <row r="7" ht="15.75" customHeight="1">
      <c r="B7" s="377" t="s">
        <v>50</v>
      </c>
      <c r="C7" s="26">
        <v>0.0</v>
      </c>
      <c r="D7" s="26">
        <v>0.0</v>
      </c>
      <c r="E7" s="26">
        <v>0.0</v>
      </c>
      <c r="F7" s="26">
        <v>77.0</v>
      </c>
      <c r="G7" s="26">
        <v>0.0</v>
      </c>
      <c r="H7" s="26">
        <v>300.0</v>
      </c>
      <c r="I7" s="26">
        <v>0.0</v>
      </c>
      <c r="J7" s="26">
        <v>1093.0</v>
      </c>
      <c r="K7" s="26">
        <v>1746.0</v>
      </c>
      <c r="L7" s="26">
        <v>1345.0</v>
      </c>
      <c r="M7" s="26">
        <v>1418.0</v>
      </c>
      <c r="N7" s="26">
        <v>1119.0</v>
      </c>
    </row>
    <row r="8" ht="15.75" customHeight="1">
      <c r="B8" s="377" t="s">
        <v>51</v>
      </c>
      <c r="C8" s="23">
        <v>0.0</v>
      </c>
      <c r="D8" s="23">
        <v>0.0</v>
      </c>
      <c r="E8" s="23">
        <v>0.0</v>
      </c>
      <c r="F8" s="23">
        <v>0.0</v>
      </c>
      <c r="G8" s="23">
        <v>0.0</v>
      </c>
      <c r="H8" s="23">
        <v>0.0</v>
      </c>
      <c r="I8" s="23">
        <v>38.0</v>
      </c>
      <c r="J8" s="26">
        <v>36.0</v>
      </c>
      <c r="K8" s="26">
        <v>42.0</v>
      </c>
      <c r="L8" s="26">
        <v>41.0</v>
      </c>
      <c r="M8" s="26">
        <v>41.0</v>
      </c>
      <c r="N8" s="26">
        <v>32.0</v>
      </c>
    </row>
    <row r="9" ht="15.75" customHeight="1">
      <c r="B9" s="377" t="s">
        <v>52</v>
      </c>
      <c r="C9" s="26">
        <v>555.0</v>
      </c>
      <c r="D9" s="23">
        <v>610.0</v>
      </c>
      <c r="E9" s="23">
        <v>296.0</v>
      </c>
      <c r="F9" s="26">
        <v>478.0</v>
      </c>
      <c r="G9" s="26">
        <v>714.0</v>
      </c>
      <c r="H9" s="26">
        <v>783.0</v>
      </c>
      <c r="I9" s="26">
        <v>1006.0</v>
      </c>
      <c r="J9" s="26">
        <v>0.0</v>
      </c>
      <c r="K9" s="23">
        <v>0.0</v>
      </c>
      <c r="L9" s="23">
        <v>0.0</v>
      </c>
      <c r="M9" s="23">
        <v>0.0</v>
      </c>
      <c r="N9" s="23">
        <v>0.0</v>
      </c>
    </row>
    <row r="10" ht="15.75" customHeight="1">
      <c r="B10" s="378" t="s">
        <v>53</v>
      </c>
      <c r="C10" s="24">
        <v>2969.0</v>
      </c>
      <c r="D10" s="24">
        <v>3318.0</v>
      </c>
      <c r="E10" s="24">
        <v>4650.0</v>
      </c>
      <c r="F10" s="24">
        <v>5064.0</v>
      </c>
      <c r="G10" s="24">
        <v>5193.0</v>
      </c>
      <c r="H10" s="24">
        <v>5772.0</v>
      </c>
      <c r="I10" s="24">
        <v>5352.0</v>
      </c>
      <c r="J10" s="24">
        <v>5327.0</v>
      </c>
      <c r="K10" s="24">
        <v>5730.0</v>
      </c>
      <c r="L10" s="24">
        <v>6538.0</v>
      </c>
      <c r="M10" s="24">
        <v>7409.0</v>
      </c>
      <c r="N10" s="24">
        <v>7815.0</v>
      </c>
    </row>
    <row r="11" ht="15.75" customHeight="1">
      <c r="B11" s="377" t="s">
        <v>54</v>
      </c>
      <c r="C11" s="27">
        <v>633.0</v>
      </c>
      <c r="D11" s="27">
        <v>621.0</v>
      </c>
      <c r="E11" s="27">
        <v>735.0</v>
      </c>
      <c r="F11" s="27">
        <v>733.0</v>
      </c>
      <c r="G11" s="27">
        <v>657.0</v>
      </c>
      <c r="H11" s="27">
        <v>804.0</v>
      </c>
      <c r="I11" s="24">
        <v>1027.0</v>
      </c>
      <c r="J11" s="27">
        <v>971.0</v>
      </c>
      <c r="K11" s="24">
        <v>1108.0</v>
      </c>
      <c r="L11" s="24">
        <v>1081.0</v>
      </c>
      <c r="M11" s="24">
        <v>1090.0</v>
      </c>
      <c r="N11" s="24">
        <v>1370.0</v>
      </c>
    </row>
    <row r="12" ht="15.75" customHeight="1">
      <c r="B12" s="377" t="s">
        <v>55</v>
      </c>
      <c r="C12" s="24">
        <v>58.0</v>
      </c>
      <c r="D12" s="24">
        <v>72.0</v>
      </c>
      <c r="E12" s="24">
        <v>68.0</v>
      </c>
      <c r="F12" s="24">
        <v>63.0</v>
      </c>
      <c r="G12" s="24">
        <v>59.0</v>
      </c>
      <c r="H12" s="24">
        <v>67.0</v>
      </c>
      <c r="I12" s="24">
        <v>82.0</v>
      </c>
      <c r="J12" s="24">
        <v>84.0</v>
      </c>
      <c r="K12" s="24">
        <v>99.0</v>
      </c>
      <c r="L12" s="24">
        <v>94.0</v>
      </c>
      <c r="M12" s="24">
        <v>97.0</v>
      </c>
      <c r="N12" s="24">
        <v>97.0</v>
      </c>
    </row>
    <row r="13" ht="15.75" customHeight="1">
      <c r="B13" s="377" t="s">
        <v>56</v>
      </c>
      <c r="C13" s="24">
        <v>2277.0</v>
      </c>
      <c r="D13" s="24">
        <v>2625.0</v>
      </c>
      <c r="E13" s="24">
        <v>3847.0</v>
      </c>
      <c r="F13" s="24">
        <v>4268.0</v>
      </c>
      <c r="G13" s="24">
        <v>4477.0</v>
      </c>
      <c r="H13" s="24">
        <v>4901.0</v>
      </c>
      <c r="I13" s="24">
        <v>4243.0</v>
      </c>
      <c r="J13" s="24">
        <v>4271.0</v>
      </c>
      <c r="K13" s="24">
        <v>4523.0</v>
      </c>
      <c r="L13" s="24">
        <v>5363.0</v>
      </c>
      <c r="M13" s="24">
        <v>6221.0</v>
      </c>
      <c r="N13" s="24">
        <v>6445.0</v>
      </c>
    </row>
    <row r="14" ht="15.75" customHeight="1">
      <c r="B14" s="377" t="s">
        <v>57</v>
      </c>
      <c r="C14" s="26">
        <v>15294.0</v>
      </c>
      <c r="D14" s="26">
        <v>15856.0</v>
      </c>
      <c r="E14" s="26">
        <v>19501.0</v>
      </c>
      <c r="F14" s="26">
        <v>20615.0</v>
      </c>
      <c r="G14" s="26">
        <v>22102.0</v>
      </c>
      <c r="H14" s="26">
        <v>23825.0</v>
      </c>
      <c r="I14" s="26">
        <v>22880.0</v>
      </c>
      <c r="J14" s="26">
        <v>22778.0</v>
      </c>
      <c r="K14" s="26">
        <v>23605.0</v>
      </c>
      <c r="L14" s="26">
        <v>25988.0</v>
      </c>
      <c r="M14" s="26">
        <v>29191.0</v>
      </c>
      <c r="N14" s="26">
        <v>31659.0</v>
      </c>
    </row>
    <row r="15" ht="15.75" customHeight="1">
      <c r="B15" s="378"/>
      <c r="C15" s="24"/>
      <c r="D15" s="24"/>
      <c r="E15" s="24"/>
      <c r="F15" s="24"/>
      <c r="G15" s="24"/>
      <c r="H15" s="24"/>
      <c r="I15" s="24"/>
      <c r="J15" s="24"/>
      <c r="K15" s="24"/>
      <c r="L15" s="24"/>
      <c r="M15" s="24"/>
      <c r="N15" s="24"/>
    </row>
    <row r="16" ht="15.75" customHeight="1">
      <c r="B16" s="378" t="s">
        <v>58</v>
      </c>
      <c r="C16" s="24">
        <v>9298.0</v>
      </c>
      <c r="D16" s="24">
        <v>9100.0</v>
      </c>
      <c r="E16" s="24">
        <v>14907.0</v>
      </c>
      <c r="F16" s="24">
        <v>16599.0</v>
      </c>
      <c r="G16" s="24">
        <v>16806.0</v>
      </c>
      <c r="H16" s="24">
        <v>17012.0</v>
      </c>
      <c r="I16" s="24">
        <v>15791.0</v>
      </c>
      <c r="J16" s="24">
        <v>15582.0</v>
      </c>
      <c r="K16" s="24">
        <v>14307.0</v>
      </c>
      <c r="L16" s="24">
        <v>14766.0</v>
      </c>
      <c r="M16" s="24">
        <v>16143.0</v>
      </c>
      <c r="N16" s="24">
        <v>15692.0</v>
      </c>
    </row>
    <row r="17" ht="15.75" customHeight="1">
      <c r="B17" s="377" t="s">
        <v>59</v>
      </c>
      <c r="C17" s="24">
        <v>280.7</v>
      </c>
      <c r="D17" s="24">
        <v>280.78</v>
      </c>
      <c r="E17" s="24">
        <v>358.3</v>
      </c>
      <c r="F17" s="24">
        <v>368.95</v>
      </c>
      <c r="G17" s="24">
        <v>380.99</v>
      </c>
      <c r="H17" s="24">
        <v>403.1</v>
      </c>
      <c r="I17" s="24">
        <v>593.1</v>
      </c>
      <c r="J17" s="24">
        <v>594.56</v>
      </c>
      <c r="K17" s="24">
        <v>578.15</v>
      </c>
      <c r="L17" s="24">
        <v>657.61</v>
      </c>
      <c r="M17" s="24">
        <v>853.51</v>
      </c>
      <c r="N17" s="24">
        <v>853.51</v>
      </c>
    </row>
    <row r="18" ht="15.75" customHeight="1">
      <c r="B18" s="377" t="s">
        <v>60</v>
      </c>
      <c r="C18" s="24">
        <v>1183.16</v>
      </c>
      <c r="D18" s="24">
        <v>1203.6</v>
      </c>
      <c r="E18" s="24">
        <v>1904.39</v>
      </c>
      <c r="F18" s="24">
        <v>1357.56</v>
      </c>
      <c r="G18" s="24">
        <v>1426.22</v>
      </c>
      <c r="H18" s="24">
        <v>1505.68</v>
      </c>
      <c r="I18" s="24">
        <v>1573.67</v>
      </c>
      <c r="J18" s="24">
        <v>1696.38</v>
      </c>
      <c r="K18" s="24">
        <v>1816.19</v>
      </c>
      <c r="L18" s="24">
        <v>2077.27</v>
      </c>
      <c r="M18" s="24">
        <v>2359.24</v>
      </c>
      <c r="N18" s="24">
        <v>2359.24</v>
      </c>
    </row>
    <row r="19" ht="15.75" customHeight="1">
      <c r="B19" s="377" t="s">
        <v>61</v>
      </c>
      <c r="C19" s="24">
        <v>7420.65</v>
      </c>
      <c r="D19" s="24">
        <v>7506.93</v>
      </c>
      <c r="E19" s="24">
        <v>10477.89</v>
      </c>
      <c r="F19" s="24">
        <v>16579.9</v>
      </c>
      <c r="G19" s="24">
        <v>17776.99</v>
      </c>
      <c r="H19" s="24">
        <v>18981.05</v>
      </c>
      <c r="I19" s="24">
        <v>19682.25</v>
      </c>
      <c r="J19" s="24">
        <v>20429.55</v>
      </c>
      <c r="K19" s="24">
        <v>21490.39</v>
      </c>
      <c r="L19" s="24">
        <v>22581.53</v>
      </c>
      <c r="M19" s="24">
        <v>24506.82</v>
      </c>
      <c r="N19" s="24">
        <v>24506.82</v>
      </c>
    </row>
    <row r="20" ht="15.75" customHeight="1">
      <c r="B20" s="377" t="s">
        <v>62</v>
      </c>
      <c r="C20" s="24">
        <v>3056.34</v>
      </c>
      <c r="D20" s="24">
        <v>3283.85</v>
      </c>
      <c r="E20" s="24">
        <v>2962.49</v>
      </c>
      <c r="F20" s="27">
        <v>71.79</v>
      </c>
      <c r="G20" s="27">
        <v>84.68</v>
      </c>
      <c r="H20" s="27">
        <v>121.06</v>
      </c>
      <c r="I20" s="27">
        <v>142.5</v>
      </c>
      <c r="J20" s="27">
        <v>163.98</v>
      </c>
      <c r="K20" s="27">
        <v>188.55</v>
      </c>
      <c r="L20" s="27">
        <v>210.23</v>
      </c>
      <c r="M20" s="27">
        <v>236.09</v>
      </c>
      <c r="N20" s="27">
        <v>236.09</v>
      </c>
    </row>
    <row r="21" ht="15.75" customHeight="1">
      <c r="B21" s="377" t="s">
        <v>63</v>
      </c>
      <c r="C21" s="27">
        <v>90.76</v>
      </c>
      <c r="D21" s="27">
        <v>91.79</v>
      </c>
      <c r="E21" s="27">
        <v>73.86</v>
      </c>
      <c r="F21" s="27">
        <v>71.49</v>
      </c>
      <c r="G21" s="27">
        <v>79.25</v>
      </c>
      <c r="H21" s="27">
        <v>85.37</v>
      </c>
      <c r="I21" s="27">
        <v>91.85</v>
      </c>
      <c r="J21" s="27">
        <v>107.61</v>
      </c>
      <c r="K21" s="27">
        <v>118.21</v>
      </c>
      <c r="L21" s="27">
        <v>143.68</v>
      </c>
      <c r="M21" s="27">
        <v>172.19</v>
      </c>
      <c r="N21" s="27">
        <v>172.19</v>
      </c>
    </row>
    <row r="22" ht="15.75" customHeight="1">
      <c r="B22" s="377" t="s">
        <v>64</v>
      </c>
      <c r="C22" s="27">
        <v>2.46</v>
      </c>
      <c r="D22" s="27">
        <v>2.46</v>
      </c>
      <c r="E22" s="27">
        <v>1.86</v>
      </c>
      <c r="F22" s="27">
        <v>1.86</v>
      </c>
      <c r="G22" s="27">
        <v>1.86</v>
      </c>
      <c r="H22" s="27">
        <v>1.86</v>
      </c>
      <c r="I22" s="27">
        <v>1.86</v>
      </c>
      <c r="J22" s="27">
        <v>1.86</v>
      </c>
      <c r="K22" s="27">
        <v>1.86</v>
      </c>
      <c r="L22" s="27">
        <v>1.86</v>
      </c>
      <c r="M22" s="27">
        <v>1.86</v>
      </c>
      <c r="N22" s="27">
        <v>1.86</v>
      </c>
    </row>
    <row r="23" ht="15.75" customHeight="1">
      <c r="B23" s="377" t="s">
        <v>65</v>
      </c>
      <c r="C23" s="27">
        <v>20.18</v>
      </c>
      <c r="D23" s="27">
        <v>19.26</v>
      </c>
      <c r="E23" s="27">
        <v>16.95</v>
      </c>
      <c r="F23" s="27">
        <v>19.33</v>
      </c>
      <c r="G23" s="27">
        <v>22.3</v>
      </c>
      <c r="H23" s="27">
        <v>23.42</v>
      </c>
      <c r="I23" s="27">
        <v>27.28</v>
      </c>
      <c r="J23" s="27">
        <v>28.14</v>
      </c>
      <c r="K23" s="27">
        <v>30.01</v>
      </c>
      <c r="L23" s="27">
        <v>33.98</v>
      </c>
      <c r="M23" s="27">
        <v>39.36</v>
      </c>
      <c r="N23" s="27">
        <v>39.36</v>
      </c>
    </row>
    <row r="24" ht="15.75" customHeight="1">
      <c r="B24" s="377" t="s">
        <v>66</v>
      </c>
      <c r="C24" s="27">
        <v>0.0</v>
      </c>
      <c r="D24" s="27">
        <v>0.0</v>
      </c>
      <c r="E24" s="27">
        <v>0.0</v>
      </c>
      <c r="F24" s="27">
        <v>0.0</v>
      </c>
      <c r="G24" s="27">
        <v>0.0</v>
      </c>
      <c r="H24" s="27">
        <v>0.0</v>
      </c>
      <c r="I24" s="27">
        <v>0.0</v>
      </c>
      <c r="J24" s="24">
        <v>0.0</v>
      </c>
      <c r="K24" s="24">
        <v>0.0</v>
      </c>
      <c r="L24" s="24">
        <v>0.0</v>
      </c>
      <c r="M24" s="24">
        <v>0.0</v>
      </c>
      <c r="N24" s="24">
        <v>9.28</v>
      </c>
    </row>
    <row r="25" ht="15.75" customHeight="1">
      <c r="B25" s="377" t="s">
        <v>67</v>
      </c>
      <c r="C25" s="24">
        <v>46.29</v>
      </c>
      <c r="D25" s="24">
        <v>47.43</v>
      </c>
      <c r="E25" s="24">
        <v>11.87</v>
      </c>
      <c r="F25" s="24">
        <v>17.79</v>
      </c>
      <c r="G25" s="24">
        <v>26.53</v>
      </c>
      <c r="H25" s="24">
        <v>36.96</v>
      </c>
      <c r="I25" s="24">
        <v>42.31</v>
      </c>
      <c r="J25" s="24">
        <v>56.06</v>
      </c>
      <c r="K25" s="24">
        <v>79.45</v>
      </c>
      <c r="L25" s="24">
        <v>77.59</v>
      </c>
      <c r="M25" s="24">
        <v>67.35</v>
      </c>
      <c r="N25" s="24">
        <v>67.35</v>
      </c>
    </row>
    <row r="26" ht="15.75" customHeight="1">
      <c r="B26" s="377" t="s">
        <v>68</v>
      </c>
      <c r="C26" s="24">
        <v>12100.54</v>
      </c>
      <c r="D26" s="24">
        <v>12436.1</v>
      </c>
      <c r="E26" s="24">
        <v>15807.61</v>
      </c>
      <c r="F26" s="24">
        <v>18488.67</v>
      </c>
      <c r="G26" s="24">
        <v>19798.82</v>
      </c>
      <c r="H26" s="24">
        <v>21158.5</v>
      </c>
      <c r="I26" s="24">
        <v>22154.82</v>
      </c>
      <c r="J26" s="24">
        <v>23078.14</v>
      </c>
      <c r="K26" s="24">
        <v>24302.81</v>
      </c>
      <c r="L26" s="24">
        <v>25783.75</v>
      </c>
      <c r="M26" s="24">
        <v>28236.42</v>
      </c>
      <c r="N26" s="24">
        <v>28236.42</v>
      </c>
    </row>
    <row r="27" ht="15.75" customHeight="1">
      <c r="B27" s="377" t="s">
        <v>69</v>
      </c>
      <c r="C27" s="24">
        <v>2802.63</v>
      </c>
      <c r="D27" s="24">
        <v>3335.6</v>
      </c>
      <c r="E27" s="27">
        <v>900.12</v>
      </c>
      <c r="F27" s="24">
        <v>1889.67</v>
      </c>
      <c r="G27" s="24">
        <v>2993.03</v>
      </c>
      <c r="H27" s="24">
        <v>4146.06</v>
      </c>
      <c r="I27" s="24">
        <v>6363.97</v>
      </c>
      <c r="J27" s="24">
        <v>7496.25</v>
      </c>
      <c r="K27" s="24">
        <v>9995.62</v>
      </c>
      <c r="L27" s="24">
        <v>11017.85</v>
      </c>
      <c r="M27" s="24">
        <v>12093.27</v>
      </c>
      <c r="N27" s="24">
        <v>12093.27</v>
      </c>
    </row>
    <row r="28" ht="15.75" customHeight="1">
      <c r="B28" s="379" t="s">
        <v>390</v>
      </c>
      <c r="C28" s="26">
        <f t="shared" ref="C28:N28" si="1">C26-C29</f>
        <v>12100.54</v>
      </c>
      <c r="D28" s="26">
        <f t="shared" si="1"/>
        <v>12436.1</v>
      </c>
      <c r="E28" s="26">
        <f t="shared" si="1"/>
        <v>15807.61</v>
      </c>
      <c r="F28" s="26">
        <f t="shared" si="1"/>
        <v>18488.67</v>
      </c>
      <c r="G28" s="26">
        <f t="shared" si="1"/>
        <v>19798.82</v>
      </c>
      <c r="H28" s="26">
        <f t="shared" si="1"/>
        <v>21158.5</v>
      </c>
      <c r="I28" s="26">
        <f t="shared" si="1"/>
        <v>22154.82</v>
      </c>
      <c r="J28" s="26">
        <f t="shared" si="1"/>
        <v>23078.14</v>
      </c>
      <c r="K28" s="26">
        <f t="shared" si="1"/>
        <v>24302.81</v>
      </c>
      <c r="L28" s="26">
        <f t="shared" si="1"/>
        <v>25783.75</v>
      </c>
      <c r="M28" s="26">
        <f t="shared" si="1"/>
        <v>28236.42</v>
      </c>
      <c r="N28" s="26">
        <f t="shared" si="1"/>
        <v>28236.42</v>
      </c>
    </row>
    <row r="29" ht="15.75" customHeight="1">
      <c r="B29" s="377"/>
      <c r="C29" s="26"/>
      <c r="D29" s="26"/>
      <c r="E29" s="26"/>
      <c r="F29" s="26"/>
      <c r="G29" s="26"/>
      <c r="H29" s="26"/>
      <c r="I29" s="26"/>
      <c r="J29" s="26"/>
      <c r="K29" s="26"/>
      <c r="L29" s="26"/>
      <c r="M29" s="26"/>
      <c r="N29" s="26"/>
    </row>
    <row r="30" ht="15.75" customHeight="1">
      <c r="B30" s="377" t="s">
        <v>70</v>
      </c>
      <c r="C30" s="26">
        <v>118.0</v>
      </c>
      <c r="D30" s="26">
        <v>166.0</v>
      </c>
      <c r="E30" s="26">
        <v>204.0</v>
      </c>
      <c r="F30" s="26">
        <v>323.0</v>
      </c>
      <c r="G30" s="26">
        <v>393.0</v>
      </c>
      <c r="H30" s="26">
        <v>359.0</v>
      </c>
      <c r="I30" s="26">
        <v>568.0</v>
      </c>
      <c r="J30" s="26">
        <v>838.0</v>
      </c>
      <c r="K30" s="26">
        <v>1186.0</v>
      </c>
      <c r="L30" s="26">
        <v>1609.0</v>
      </c>
      <c r="M30" s="26">
        <v>816.0</v>
      </c>
      <c r="N30" s="26">
        <v>756.0</v>
      </c>
    </row>
    <row r="31" ht="15.75" customHeight="1">
      <c r="B31" s="377" t="s">
        <v>71</v>
      </c>
      <c r="C31" s="24">
        <v>2612.0</v>
      </c>
      <c r="D31" s="24">
        <v>2658.0</v>
      </c>
      <c r="E31" s="24">
        <v>695.0</v>
      </c>
      <c r="F31" s="24">
        <v>754.0</v>
      </c>
      <c r="G31" s="24">
        <v>989.0</v>
      </c>
      <c r="H31" s="24">
        <v>1162.0</v>
      </c>
      <c r="I31" s="24">
        <v>1021.0</v>
      </c>
      <c r="J31" s="24">
        <v>781.0</v>
      </c>
      <c r="K31" s="24">
        <v>1414.0</v>
      </c>
      <c r="L31" s="24">
        <v>2494.0</v>
      </c>
      <c r="M31" s="24">
        <v>2742.0</v>
      </c>
      <c r="N31" s="24">
        <v>2416.0</v>
      </c>
    </row>
    <row r="32" ht="15.75" customHeight="1">
      <c r="B32" s="378"/>
      <c r="C32" s="26"/>
      <c r="D32" s="26"/>
      <c r="E32" s="26"/>
      <c r="F32" s="26"/>
      <c r="G32" s="26"/>
      <c r="H32" s="26"/>
      <c r="I32" s="26"/>
      <c r="J32" s="26"/>
      <c r="K32" s="26"/>
      <c r="L32" s="26"/>
      <c r="M32" s="26"/>
      <c r="N32" s="26"/>
    </row>
    <row r="33" ht="15.75" customHeight="1">
      <c r="B33" s="378" t="s">
        <v>72</v>
      </c>
      <c r="C33" s="26">
        <v>3266.0</v>
      </c>
      <c r="D33" s="26">
        <v>3932.0</v>
      </c>
      <c r="E33" s="26">
        <v>3694.0</v>
      </c>
      <c r="F33" s="26">
        <v>2939.0</v>
      </c>
      <c r="G33" s="26">
        <v>3915.0</v>
      </c>
      <c r="H33" s="26">
        <v>5291.0</v>
      </c>
      <c r="I33" s="26">
        <v>5500.0</v>
      </c>
      <c r="J33" s="26">
        <v>5578.0</v>
      </c>
      <c r="K33" s="26">
        <v>6697.0</v>
      </c>
      <c r="L33" s="26">
        <v>7119.0</v>
      </c>
      <c r="M33" s="26">
        <v>9490.0</v>
      </c>
      <c r="N33" s="26">
        <v>12795.0</v>
      </c>
    </row>
    <row r="34" ht="15.75" customHeight="1">
      <c r="B34" s="377" t="s">
        <v>73</v>
      </c>
      <c r="C34" s="26">
        <v>283.0</v>
      </c>
      <c r="D34" s="26">
        <v>253.0</v>
      </c>
      <c r="E34" s="26">
        <v>420.0</v>
      </c>
      <c r="F34" s="26">
        <v>369.0</v>
      </c>
      <c r="G34" s="23">
        <v>454.0</v>
      </c>
      <c r="H34" s="26">
        <v>627.0</v>
      </c>
      <c r="I34" s="26">
        <v>598.0</v>
      </c>
      <c r="J34" s="26">
        <v>386.0</v>
      </c>
      <c r="K34" s="26">
        <v>438.0</v>
      </c>
      <c r="L34" s="26">
        <v>646.0</v>
      </c>
      <c r="M34" s="26">
        <v>646.0</v>
      </c>
      <c r="N34" s="26">
        <v>609.0</v>
      </c>
    </row>
    <row r="35" ht="15.75" customHeight="1">
      <c r="B35" s="377" t="s">
        <v>74</v>
      </c>
      <c r="C35" s="23">
        <v>784.0</v>
      </c>
      <c r="D35" s="23">
        <v>874.0</v>
      </c>
      <c r="E35" s="26">
        <v>1049.0</v>
      </c>
      <c r="F35" s="23">
        <v>969.0</v>
      </c>
      <c r="G35" s="26">
        <v>1124.0</v>
      </c>
      <c r="H35" s="26">
        <v>1171.0</v>
      </c>
      <c r="I35" s="26">
        <v>1181.0</v>
      </c>
      <c r="J35" s="26">
        <v>1276.0</v>
      </c>
      <c r="K35" s="26">
        <v>1364.0</v>
      </c>
      <c r="L35" s="26">
        <v>1516.0</v>
      </c>
      <c r="M35" s="26">
        <v>1566.0</v>
      </c>
      <c r="N35" s="26">
        <v>1691.0</v>
      </c>
    </row>
    <row r="36" ht="15.75" customHeight="1">
      <c r="B36" s="377" t="s">
        <v>75</v>
      </c>
      <c r="C36" s="26">
        <v>1527.0</v>
      </c>
      <c r="D36" s="26">
        <v>1580.0</v>
      </c>
      <c r="E36" s="23">
        <v>778.0</v>
      </c>
      <c r="F36" s="23">
        <v>269.0</v>
      </c>
      <c r="G36" s="23">
        <v>270.0</v>
      </c>
      <c r="H36" s="23">
        <v>326.0</v>
      </c>
      <c r="I36" s="23">
        <v>224.0</v>
      </c>
      <c r="J36" s="26">
        <v>189.0</v>
      </c>
      <c r="K36" s="26">
        <v>207.0</v>
      </c>
      <c r="L36" s="23">
        <v>282.0</v>
      </c>
      <c r="M36" s="23">
        <v>311.0</v>
      </c>
      <c r="N36" s="23">
        <v>297.0</v>
      </c>
    </row>
    <row r="37" ht="15.75" customHeight="1">
      <c r="B37" s="377" t="s">
        <v>76</v>
      </c>
      <c r="C37" s="26">
        <v>70.0</v>
      </c>
      <c r="D37" s="26">
        <v>611.0</v>
      </c>
      <c r="E37" s="26">
        <v>215.0</v>
      </c>
      <c r="F37" s="26">
        <v>103.0</v>
      </c>
      <c r="G37" s="26">
        <v>685.0</v>
      </c>
      <c r="H37" s="26">
        <v>255.0</v>
      </c>
      <c r="I37" s="26">
        <v>181.0</v>
      </c>
      <c r="J37" s="26">
        <v>181.0</v>
      </c>
      <c r="K37" s="26">
        <v>1146.0</v>
      </c>
      <c r="L37" s="26">
        <v>219.0</v>
      </c>
      <c r="M37" s="26">
        <v>408.0</v>
      </c>
      <c r="N37" s="26">
        <v>5783.0</v>
      </c>
    </row>
    <row r="38" ht="15.75" customHeight="1">
      <c r="B38" s="377" t="s">
        <v>77</v>
      </c>
      <c r="C38" s="26">
        <v>603.0</v>
      </c>
      <c r="D38" s="23">
        <v>613.0</v>
      </c>
      <c r="E38" s="26">
        <v>1232.0</v>
      </c>
      <c r="F38" s="26">
        <v>1230.0</v>
      </c>
      <c r="G38" s="26">
        <v>1382.0</v>
      </c>
      <c r="H38" s="26">
        <v>2913.0</v>
      </c>
      <c r="I38" s="26">
        <v>3316.0</v>
      </c>
      <c r="J38" s="26">
        <v>3546.0</v>
      </c>
      <c r="K38" s="26">
        <v>3542.0</v>
      </c>
      <c r="L38" s="26">
        <v>4457.0</v>
      </c>
      <c r="M38" s="26">
        <v>6559.0</v>
      </c>
      <c r="N38" s="26">
        <v>4415.0</v>
      </c>
    </row>
    <row r="39" ht="15.75" customHeight="1">
      <c r="B39" s="380" t="s">
        <v>78</v>
      </c>
      <c r="C39" s="32">
        <v>804.0</v>
      </c>
      <c r="D39" s="33">
        <f t="shared" ref="D39:N39" si="2">(D35+C35)/2</f>
        <v>829</v>
      </c>
      <c r="E39" s="33">
        <f t="shared" si="2"/>
        <v>961.5</v>
      </c>
      <c r="F39" s="33">
        <f t="shared" si="2"/>
        <v>1009</v>
      </c>
      <c r="G39" s="33">
        <f t="shared" si="2"/>
        <v>1046.5</v>
      </c>
      <c r="H39" s="33">
        <f t="shared" si="2"/>
        <v>1147.5</v>
      </c>
      <c r="I39" s="33">
        <f t="shared" si="2"/>
        <v>1176</v>
      </c>
      <c r="J39" s="33">
        <f t="shared" si="2"/>
        <v>1228.5</v>
      </c>
      <c r="K39" s="33">
        <f t="shared" si="2"/>
        <v>1320</v>
      </c>
      <c r="L39" s="33">
        <f t="shared" si="2"/>
        <v>1440</v>
      </c>
      <c r="M39" s="33">
        <f t="shared" si="2"/>
        <v>1541</v>
      </c>
      <c r="N39" s="33">
        <f t="shared" si="2"/>
        <v>1628.5</v>
      </c>
    </row>
    <row r="40" ht="15.75" customHeight="1">
      <c r="B40" s="377" t="s">
        <v>79</v>
      </c>
      <c r="C40" s="24">
        <v>15294.0</v>
      </c>
      <c r="D40" s="24">
        <v>15856.0</v>
      </c>
      <c r="E40" s="24">
        <v>19501.0</v>
      </c>
      <c r="F40" s="24">
        <v>20615.0</v>
      </c>
      <c r="G40" s="24">
        <v>22102.0</v>
      </c>
      <c r="H40" s="24">
        <v>23825.0</v>
      </c>
      <c r="I40" s="24">
        <v>22880.0</v>
      </c>
      <c r="J40" s="24">
        <v>22778.0</v>
      </c>
      <c r="K40" s="24">
        <v>23605.0</v>
      </c>
      <c r="L40" s="24">
        <v>25988.0</v>
      </c>
      <c r="M40" s="24">
        <v>29191.0</v>
      </c>
      <c r="N40" s="24">
        <v>31659.0</v>
      </c>
    </row>
    <row r="41" ht="15.75" customHeight="1">
      <c r="B41" s="381" t="s">
        <v>80</v>
      </c>
      <c r="C41" s="35">
        <v>19126.0</v>
      </c>
      <c r="D41" s="36">
        <f t="shared" ref="D41:N41" si="3">(D40+C40)/2</f>
        <v>15575</v>
      </c>
      <c r="E41" s="36">
        <f t="shared" si="3"/>
        <v>17678.5</v>
      </c>
      <c r="F41" s="36">
        <f t="shared" si="3"/>
        <v>20058</v>
      </c>
      <c r="G41" s="36">
        <f t="shared" si="3"/>
        <v>21358.5</v>
      </c>
      <c r="H41" s="36">
        <f t="shared" si="3"/>
        <v>22963.5</v>
      </c>
      <c r="I41" s="36">
        <f t="shared" si="3"/>
        <v>23352.5</v>
      </c>
      <c r="J41" s="36">
        <f t="shared" si="3"/>
        <v>22829</v>
      </c>
      <c r="K41" s="36">
        <f t="shared" si="3"/>
        <v>23191.5</v>
      </c>
      <c r="L41" s="36">
        <f t="shared" si="3"/>
        <v>24796.5</v>
      </c>
      <c r="M41" s="36">
        <f t="shared" si="3"/>
        <v>27589.5</v>
      </c>
      <c r="N41" s="36">
        <f t="shared" si="3"/>
        <v>30425</v>
      </c>
    </row>
    <row r="42" ht="15.75" customHeight="1">
      <c r="B42" s="382" t="s">
        <v>81</v>
      </c>
      <c r="C42" s="35">
        <f>C34</f>
        <v>283</v>
      </c>
      <c r="D42" s="38">
        <f t="shared" ref="D42:N42" si="4">(D34+C34)/2</f>
        <v>268</v>
      </c>
      <c r="E42" s="38">
        <f t="shared" si="4"/>
        <v>336.5</v>
      </c>
      <c r="F42" s="38">
        <f t="shared" si="4"/>
        <v>394.5</v>
      </c>
      <c r="G42" s="38">
        <f t="shared" si="4"/>
        <v>411.5</v>
      </c>
      <c r="H42" s="38">
        <f t="shared" si="4"/>
        <v>540.5</v>
      </c>
      <c r="I42" s="38">
        <f t="shared" si="4"/>
        <v>612.5</v>
      </c>
      <c r="J42" s="38">
        <f t="shared" si="4"/>
        <v>492</v>
      </c>
      <c r="K42" s="38">
        <f t="shared" si="4"/>
        <v>412</v>
      </c>
      <c r="L42" s="38">
        <f t="shared" si="4"/>
        <v>542</v>
      </c>
      <c r="M42" s="38">
        <f t="shared" si="4"/>
        <v>646</v>
      </c>
      <c r="N42" s="38">
        <f t="shared" si="4"/>
        <v>627.5</v>
      </c>
    </row>
    <row r="43" ht="15.75" customHeight="1"/>
    <row r="44" ht="15.75" customHeight="1"/>
    <row r="45" ht="15.75" customHeight="1">
      <c r="C45" s="40"/>
    </row>
    <row r="46" ht="15.75" customHeight="1"/>
    <row r="47" ht="15.75" customHeight="1"/>
    <row r="48" ht="15.75" customHeight="1">
      <c r="D48" s="40"/>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56"/>
    <col customWidth="1" min="2" max="2" width="31.22"/>
    <col customWidth="1" min="3" max="3" width="10.56"/>
    <col customWidth="1" min="4" max="4" width="17.44"/>
    <col customWidth="1" min="5" max="5" width="15.22"/>
    <col customWidth="1" min="6" max="6" width="14.11"/>
    <col customWidth="1" min="7" max="7" width="14.0"/>
    <col customWidth="1" min="8" max="8" width="15.78"/>
    <col customWidth="1" min="9" max="9" width="15.11"/>
    <col customWidth="1" min="10" max="25" width="10.56"/>
  </cols>
  <sheetData>
    <row r="1" ht="15.75" customHeight="1">
      <c r="A1" s="383" t="s">
        <v>391</v>
      </c>
      <c r="B1" s="2"/>
      <c r="C1" s="2"/>
      <c r="D1" s="3"/>
    </row>
    <row r="2" ht="15.75" customHeight="1"/>
    <row r="3" ht="15.75" customHeight="1"/>
    <row r="4" ht="15.75" customHeight="1">
      <c r="B4" s="384" t="s">
        <v>392</v>
      </c>
      <c r="C4" s="385">
        <v>43525.0</v>
      </c>
      <c r="D4" s="386">
        <v>43891.0</v>
      </c>
      <c r="E4" s="386">
        <v>44256.0</v>
      </c>
      <c r="F4" s="386">
        <v>44621.0</v>
      </c>
      <c r="G4" s="386">
        <v>44986.0</v>
      </c>
      <c r="H4" s="386">
        <v>45352.0</v>
      </c>
      <c r="I4" s="387">
        <v>45717.0</v>
      </c>
      <c r="K4" s="388"/>
      <c r="L4" s="388"/>
    </row>
    <row r="5" ht="15.75" customHeight="1">
      <c r="B5" s="252"/>
    </row>
    <row r="6" ht="15.75" customHeight="1">
      <c r="B6" s="389" t="s">
        <v>393</v>
      </c>
      <c r="C6" s="258"/>
      <c r="D6" s="258"/>
      <c r="E6" s="258"/>
      <c r="F6" s="258"/>
      <c r="G6" s="258"/>
      <c r="H6" s="258"/>
      <c r="I6" s="258"/>
    </row>
    <row r="7" ht="15.75" customHeight="1">
      <c r="B7" s="277" t="s">
        <v>73</v>
      </c>
      <c r="C7" s="390">
        <f>'Data_sheet for growth'!H34</f>
        <v>627</v>
      </c>
      <c r="D7" s="390">
        <f>'Data_sheet for growth'!I34</f>
        <v>598</v>
      </c>
      <c r="E7" s="390">
        <f>'Data_sheet for growth'!J34</f>
        <v>386</v>
      </c>
      <c r="F7" s="390">
        <f>'Data_sheet for growth'!K34</f>
        <v>438</v>
      </c>
      <c r="G7" s="390">
        <f>'Data_sheet for growth'!L34</f>
        <v>646</v>
      </c>
      <c r="H7" s="390">
        <f>'Data_sheet for growth'!M34</f>
        <v>646</v>
      </c>
      <c r="I7" s="390">
        <f>'Data_sheet for growth'!N34</f>
        <v>609</v>
      </c>
    </row>
    <row r="8" ht="15.75" customHeight="1">
      <c r="B8" s="277" t="s">
        <v>394</v>
      </c>
      <c r="C8" s="390">
        <f>'Data_sheet for growth'!H35</f>
        <v>1171</v>
      </c>
      <c r="D8" s="390">
        <f>'Data_sheet for growth'!I35</f>
        <v>1181</v>
      </c>
      <c r="E8" s="390">
        <f>'Data_sheet for growth'!J35</f>
        <v>1276</v>
      </c>
      <c r="F8" s="390">
        <f>'Data_sheet for growth'!K35</f>
        <v>1364</v>
      </c>
      <c r="G8" s="390">
        <f>'Data_sheet for growth'!L35</f>
        <v>1516</v>
      </c>
      <c r="H8" s="390">
        <f>'Data_sheet for growth'!M35</f>
        <v>1566</v>
      </c>
      <c r="I8" s="390">
        <f>'Data_sheet for growth'!N35</f>
        <v>1691</v>
      </c>
    </row>
    <row r="9" ht="15.75" customHeight="1">
      <c r="B9" s="277" t="s">
        <v>76</v>
      </c>
      <c r="C9" s="390">
        <f>'Data_sheet for growth'!H37</f>
        <v>255</v>
      </c>
      <c r="D9" s="390">
        <f>'Data_sheet for growth'!I37</f>
        <v>181</v>
      </c>
      <c r="E9" s="390">
        <f>'Data_sheet for growth'!J37</f>
        <v>181</v>
      </c>
      <c r="F9" s="390">
        <f>'Data_sheet for growth'!K37</f>
        <v>1146</v>
      </c>
      <c r="G9" s="390">
        <f>'Data_sheet for growth'!L37</f>
        <v>219</v>
      </c>
      <c r="H9" s="390">
        <f>'Data_sheet for growth'!M37</f>
        <v>408</v>
      </c>
      <c r="I9" s="390">
        <f>'Data_sheet for growth'!N37</f>
        <v>5783</v>
      </c>
    </row>
    <row r="10" ht="15.75" customHeight="1">
      <c r="B10" s="277" t="s">
        <v>77</v>
      </c>
      <c r="C10" s="390">
        <f>'Data_sheet for growth'!H38</f>
        <v>2913</v>
      </c>
      <c r="D10" s="390">
        <f>'Data_sheet for growth'!I38</f>
        <v>3316</v>
      </c>
      <c r="E10" s="390">
        <f>'Data_sheet for growth'!J38</f>
        <v>3546</v>
      </c>
      <c r="F10" s="390">
        <f>'Data_sheet for growth'!K38</f>
        <v>3542</v>
      </c>
      <c r="G10" s="390">
        <f>'Data_sheet for growth'!L38</f>
        <v>4457</v>
      </c>
      <c r="H10" s="390">
        <f>'Data_sheet for growth'!M38</f>
        <v>6559</v>
      </c>
      <c r="I10" s="390">
        <f>'Data_sheet for growth'!N38</f>
        <v>4415</v>
      </c>
    </row>
    <row r="11" ht="15.75" customHeight="1">
      <c r="B11" s="391" t="s">
        <v>395</v>
      </c>
      <c r="C11" s="392">
        <f t="shared" ref="C11:I11" si="1">SUM(C7:C10)</f>
        <v>4966</v>
      </c>
      <c r="D11" s="392">
        <f t="shared" si="1"/>
        <v>5276</v>
      </c>
      <c r="E11" s="392">
        <f t="shared" si="1"/>
        <v>5389</v>
      </c>
      <c r="F11" s="392">
        <f t="shared" si="1"/>
        <v>6490</v>
      </c>
      <c r="G11" s="392">
        <f t="shared" si="1"/>
        <v>6838</v>
      </c>
      <c r="H11" s="392">
        <f t="shared" si="1"/>
        <v>9179</v>
      </c>
      <c r="I11" s="392">
        <f t="shared" si="1"/>
        <v>12498</v>
      </c>
    </row>
    <row r="12" ht="15.75" customHeight="1">
      <c r="B12" s="252"/>
      <c r="C12" s="252"/>
      <c r="D12" s="252"/>
      <c r="E12" s="252"/>
      <c r="F12" s="252"/>
      <c r="G12" s="252"/>
      <c r="H12" s="252"/>
      <c r="I12" s="252"/>
    </row>
    <row r="13" ht="15.75" customHeight="1">
      <c r="B13" s="252"/>
      <c r="C13" s="252"/>
      <c r="D13" s="252"/>
      <c r="E13" s="252"/>
      <c r="F13" s="252"/>
      <c r="G13" s="252"/>
      <c r="H13" s="252"/>
      <c r="I13" s="252"/>
    </row>
    <row r="14" ht="15.75" customHeight="1">
      <c r="B14" s="389" t="s">
        <v>396</v>
      </c>
      <c r="C14" s="258"/>
      <c r="D14" s="258"/>
      <c r="E14" s="258"/>
      <c r="F14" s="258"/>
      <c r="G14" s="258"/>
      <c r="H14" s="258"/>
      <c r="I14" s="258"/>
    </row>
    <row r="15" ht="15.75" customHeight="1">
      <c r="B15" s="277" t="s">
        <v>54</v>
      </c>
      <c r="C15" s="393">
        <f>'Data_sheet for growth'!H11</f>
        <v>804</v>
      </c>
      <c r="D15" s="393">
        <f>'Data_sheet for growth'!I11</f>
        <v>1027</v>
      </c>
      <c r="E15" s="393">
        <f>'Data_sheet for growth'!J11</f>
        <v>971</v>
      </c>
      <c r="F15" s="393">
        <f>'Data_sheet for growth'!K11</f>
        <v>1108</v>
      </c>
      <c r="G15" s="393">
        <f>'Data_sheet for growth'!L11</f>
        <v>1081</v>
      </c>
      <c r="H15" s="393">
        <f>'Data_sheet for growth'!M11</f>
        <v>1090</v>
      </c>
      <c r="I15" s="393">
        <f>'Data_sheet for growth'!N11</f>
        <v>1370</v>
      </c>
    </row>
    <row r="16" ht="15.75" customHeight="1">
      <c r="B16" s="394" t="s">
        <v>55</v>
      </c>
      <c r="C16" s="393">
        <f>'Data_sheet for growth'!H12</f>
        <v>67</v>
      </c>
      <c r="D16" s="393">
        <f>'Data_sheet for growth'!I12</f>
        <v>82</v>
      </c>
      <c r="E16" s="393">
        <f>'Data_sheet for growth'!J12</f>
        <v>84</v>
      </c>
      <c r="F16" s="393">
        <f>'Data_sheet for growth'!K12</f>
        <v>99</v>
      </c>
      <c r="G16" s="393">
        <f>'Data_sheet for growth'!L12</f>
        <v>94</v>
      </c>
      <c r="H16" s="393">
        <f>'Data_sheet for growth'!M12</f>
        <v>97</v>
      </c>
      <c r="I16" s="393">
        <f>'Data_sheet for growth'!N12</f>
        <v>97</v>
      </c>
    </row>
    <row r="17" ht="15.75" customHeight="1">
      <c r="B17" s="277" t="s">
        <v>56</v>
      </c>
      <c r="C17" s="393">
        <f>'Data_sheet for growth'!H13</f>
        <v>4901</v>
      </c>
      <c r="D17" s="393">
        <f>'Data_sheet for growth'!I13</f>
        <v>4243</v>
      </c>
      <c r="E17" s="393">
        <f>'Data_sheet for growth'!J13</f>
        <v>4271</v>
      </c>
      <c r="F17" s="393">
        <f>'Data_sheet for growth'!K13</f>
        <v>4523</v>
      </c>
      <c r="G17" s="393">
        <f>'Data_sheet for growth'!L13</f>
        <v>5363</v>
      </c>
      <c r="H17" s="393">
        <f>'Data_sheet for growth'!M13</f>
        <v>6221</v>
      </c>
      <c r="I17" s="393">
        <f>'Data_sheet for growth'!N13</f>
        <v>6445</v>
      </c>
    </row>
    <row r="18" ht="15.75" customHeight="1">
      <c r="B18" s="391" t="s">
        <v>397</v>
      </c>
      <c r="C18" s="392">
        <f t="shared" ref="C18:I18" si="2">SUM(C15:C17)</f>
        <v>5772</v>
      </c>
      <c r="D18" s="392">
        <f t="shared" si="2"/>
        <v>5352</v>
      </c>
      <c r="E18" s="392">
        <f t="shared" si="2"/>
        <v>5326</v>
      </c>
      <c r="F18" s="392">
        <f t="shared" si="2"/>
        <v>5730</v>
      </c>
      <c r="G18" s="392">
        <f t="shared" si="2"/>
        <v>6538</v>
      </c>
      <c r="H18" s="392">
        <f t="shared" si="2"/>
        <v>7408</v>
      </c>
      <c r="I18" s="392">
        <f t="shared" si="2"/>
        <v>7912</v>
      </c>
    </row>
    <row r="19" ht="15.75" customHeight="1">
      <c r="B19" s="258"/>
      <c r="C19" s="258"/>
      <c r="D19" s="258"/>
      <c r="E19" s="258"/>
      <c r="F19" s="258"/>
      <c r="G19" s="258"/>
      <c r="H19" s="258"/>
      <c r="I19" s="258"/>
    </row>
    <row r="20" ht="15.75" customHeight="1">
      <c r="B20" s="353" t="s">
        <v>398</v>
      </c>
      <c r="C20" s="395">
        <f t="shared" ref="C20:I20" si="3">C11-C18</f>
        <v>-806</v>
      </c>
      <c r="D20" s="395">
        <f t="shared" si="3"/>
        <v>-76</v>
      </c>
      <c r="E20" s="395">
        <f t="shared" si="3"/>
        <v>63</v>
      </c>
      <c r="F20" s="395">
        <f t="shared" si="3"/>
        <v>760</v>
      </c>
      <c r="G20" s="395">
        <f t="shared" si="3"/>
        <v>300</v>
      </c>
      <c r="H20" s="395">
        <f t="shared" si="3"/>
        <v>1771</v>
      </c>
      <c r="I20" s="395">
        <f t="shared" si="3"/>
        <v>4586</v>
      </c>
    </row>
    <row r="21" ht="15.75" customHeight="1">
      <c r="B21" s="252"/>
      <c r="C21" s="252"/>
      <c r="D21" s="252"/>
      <c r="E21" s="252"/>
      <c r="F21" s="252"/>
      <c r="G21" s="252"/>
      <c r="H21" s="252"/>
      <c r="I21" s="252"/>
    </row>
    <row r="22" ht="15.75" customHeight="1">
      <c r="B22" s="389" t="s">
        <v>399</v>
      </c>
      <c r="C22" s="258"/>
      <c r="D22" s="258"/>
      <c r="E22" s="258"/>
      <c r="F22" s="258"/>
      <c r="G22" s="258"/>
      <c r="H22" s="258"/>
      <c r="I22" s="258"/>
    </row>
    <row r="23" ht="15.75" customHeight="1">
      <c r="B23" s="277" t="str">
        <f>'Data_sheet for growth'!B17</f>
        <v>Land</v>
      </c>
      <c r="C23" s="396">
        <f>'Data_sheet for growth'!H17</f>
        <v>403.1</v>
      </c>
      <c r="D23" s="396">
        <f>'Data_sheet for growth'!I17</f>
        <v>593.1</v>
      </c>
      <c r="E23" s="396">
        <f>'Data_sheet for growth'!J17</f>
        <v>594.56</v>
      </c>
      <c r="F23" s="396">
        <f>'Data_sheet for growth'!K17</f>
        <v>578.15</v>
      </c>
      <c r="G23" s="396">
        <f>'Data_sheet for growth'!L17</f>
        <v>657.61</v>
      </c>
      <c r="H23" s="396">
        <f>'Data_sheet for growth'!M17</f>
        <v>853.51</v>
      </c>
      <c r="I23" s="396">
        <f>'Data_sheet for growth'!N17</f>
        <v>853.51</v>
      </c>
    </row>
    <row r="24" ht="15.75" customHeight="1">
      <c r="B24" s="277" t="str">
        <f>'Data_sheet for growth'!B18</f>
        <v>Building</v>
      </c>
      <c r="C24" s="396">
        <f>'Data_sheet for growth'!H18</f>
        <v>1505.68</v>
      </c>
      <c r="D24" s="396">
        <f>'Data_sheet for growth'!I18</f>
        <v>1573.67</v>
      </c>
      <c r="E24" s="396">
        <f>'Data_sheet for growth'!J18</f>
        <v>1696.38</v>
      </c>
      <c r="F24" s="396">
        <f>'Data_sheet for growth'!K18</f>
        <v>1816.19</v>
      </c>
      <c r="G24" s="396">
        <f>'Data_sheet for growth'!L18</f>
        <v>2077.27</v>
      </c>
      <c r="H24" s="396">
        <f>'Data_sheet for growth'!M18</f>
        <v>2359.24</v>
      </c>
      <c r="I24" s="396">
        <f>'Data_sheet for growth'!N18</f>
        <v>2359.24</v>
      </c>
    </row>
    <row r="25" ht="15.75" customHeight="1">
      <c r="B25" s="277" t="str">
        <f>'Data_sheet for growth'!B19</f>
        <v>Plant Machinery</v>
      </c>
      <c r="C25" s="396">
        <f>'Data_sheet for growth'!H19</f>
        <v>18981.05</v>
      </c>
      <c r="D25" s="396">
        <f>'Data_sheet for growth'!I19</f>
        <v>19682.25</v>
      </c>
      <c r="E25" s="396">
        <f>'Data_sheet for growth'!J19</f>
        <v>20429.55</v>
      </c>
      <c r="F25" s="396">
        <f>'Data_sheet for growth'!K19</f>
        <v>21490.39</v>
      </c>
      <c r="G25" s="396">
        <f>'Data_sheet for growth'!L19</f>
        <v>22581.53</v>
      </c>
      <c r="H25" s="396">
        <f>'Data_sheet for growth'!M19</f>
        <v>24506.82</v>
      </c>
      <c r="I25" s="396">
        <f>'Data_sheet for growth'!N19</f>
        <v>24506.82</v>
      </c>
    </row>
    <row r="26" ht="15.75" customHeight="1">
      <c r="B26" s="277" t="str">
        <f>'Data_sheet for growth'!B20</f>
        <v>Equipments</v>
      </c>
      <c r="C26" s="396">
        <f>'Data_sheet for growth'!H20</f>
        <v>121.06</v>
      </c>
      <c r="D26" s="396">
        <f>'Data_sheet for growth'!I20</f>
        <v>142.5</v>
      </c>
      <c r="E26" s="396">
        <f>'Data_sheet for growth'!J20</f>
        <v>163.98</v>
      </c>
      <c r="F26" s="396">
        <f>'Data_sheet for growth'!K20</f>
        <v>188.55</v>
      </c>
      <c r="G26" s="396">
        <f>'Data_sheet for growth'!L20</f>
        <v>210.23</v>
      </c>
      <c r="H26" s="396">
        <f>'Data_sheet for growth'!M20</f>
        <v>236.09</v>
      </c>
      <c r="I26" s="396">
        <f>'Data_sheet for growth'!N20</f>
        <v>236.09</v>
      </c>
    </row>
    <row r="27" ht="15.75" customHeight="1">
      <c r="B27" s="277" t="str">
        <f>'Data_sheet for growth'!B21</f>
        <v>Furniture n fittings</v>
      </c>
      <c r="C27" s="396">
        <f>'Data_sheet for growth'!H21</f>
        <v>85.37</v>
      </c>
      <c r="D27" s="396">
        <f>'Data_sheet for growth'!I21</f>
        <v>91.85</v>
      </c>
      <c r="E27" s="396">
        <f>'Data_sheet for growth'!J21</f>
        <v>107.61</v>
      </c>
      <c r="F27" s="396">
        <f>'Data_sheet for growth'!K21</f>
        <v>118.21</v>
      </c>
      <c r="G27" s="396">
        <f>'Data_sheet for growth'!L21</f>
        <v>143.68</v>
      </c>
      <c r="H27" s="396">
        <f>'Data_sheet for growth'!M21</f>
        <v>172.19</v>
      </c>
      <c r="I27" s="396">
        <f>'Data_sheet for growth'!N21</f>
        <v>172.19</v>
      </c>
    </row>
    <row r="28" ht="15.75" customHeight="1">
      <c r="B28" s="277" t="str">
        <f>'Data_sheet for growth'!B22</f>
        <v>Railway sidings</v>
      </c>
      <c r="C28" s="396">
        <f>'Data_sheet for growth'!H22</f>
        <v>1.86</v>
      </c>
      <c r="D28" s="396">
        <f>'Data_sheet for growth'!I22</f>
        <v>1.86</v>
      </c>
      <c r="E28" s="396">
        <f>'Data_sheet for growth'!J22</f>
        <v>1.86</v>
      </c>
      <c r="F28" s="396">
        <f>'Data_sheet for growth'!K22</f>
        <v>1.86</v>
      </c>
      <c r="G28" s="396">
        <f>'Data_sheet for growth'!L22</f>
        <v>1.86</v>
      </c>
      <c r="H28" s="396">
        <f>'Data_sheet for growth'!M22</f>
        <v>1.86</v>
      </c>
      <c r="I28" s="396">
        <f>'Data_sheet for growth'!N22</f>
        <v>1.86</v>
      </c>
    </row>
    <row r="29" ht="15.75" customHeight="1">
      <c r="B29" s="277" t="str">
        <f>'Data_sheet for growth'!B23</f>
        <v>Vehicles</v>
      </c>
      <c r="C29" s="396">
        <f>'Data_sheet for growth'!H23</f>
        <v>23.42</v>
      </c>
      <c r="D29" s="396">
        <f>'Data_sheet for growth'!I23</f>
        <v>27.28</v>
      </c>
      <c r="E29" s="396">
        <f>'Data_sheet for growth'!J23</f>
        <v>28.14</v>
      </c>
      <c r="F29" s="396">
        <f>'Data_sheet for growth'!K23</f>
        <v>30.01</v>
      </c>
      <c r="G29" s="396">
        <f>'Data_sheet for growth'!L23</f>
        <v>33.98</v>
      </c>
      <c r="H29" s="396">
        <f>'Data_sheet for growth'!M23</f>
        <v>39.36</v>
      </c>
      <c r="I29" s="396">
        <f>'Data_sheet for growth'!N23</f>
        <v>39.36</v>
      </c>
    </row>
    <row r="30" ht="15.75" customHeight="1">
      <c r="B30" s="277" t="str">
        <f>'Data_sheet for growth'!B24</f>
        <v>Intangible Assets</v>
      </c>
      <c r="C30" s="396">
        <f>'Data_sheet for growth'!H24</f>
        <v>0</v>
      </c>
      <c r="D30" s="396">
        <f>'Data_sheet for growth'!I24</f>
        <v>0</v>
      </c>
      <c r="E30" s="396">
        <f>'Data_sheet for growth'!J24</f>
        <v>0</v>
      </c>
      <c r="F30" s="396">
        <f>'Data_sheet for growth'!K24</f>
        <v>0</v>
      </c>
      <c r="G30" s="396">
        <f>'Data_sheet for growth'!L24</f>
        <v>0</v>
      </c>
      <c r="H30" s="396">
        <f>'Data_sheet for growth'!M24</f>
        <v>0</v>
      </c>
      <c r="I30" s="396">
        <f>'Data_sheet for growth'!N24</f>
        <v>9.28</v>
      </c>
    </row>
    <row r="31" ht="15.75" customHeight="1">
      <c r="B31" s="277" t="str">
        <f>'Data_sheet for growth'!B25</f>
        <v>Other fixed assets</v>
      </c>
      <c r="C31" s="396">
        <f>'Data_sheet for growth'!H25</f>
        <v>36.96</v>
      </c>
      <c r="D31" s="396">
        <f>'Data_sheet for growth'!I25</f>
        <v>42.31</v>
      </c>
      <c r="E31" s="396">
        <f>'Data_sheet for growth'!J25</f>
        <v>56.06</v>
      </c>
      <c r="F31" s="396">
        <f>'Data_sheet for growth'!K25</f>
        <v>79.45</v>
      </c>
      <c r="G31" s="396">
        <f>'Data_sheet for growth'!L25</f>
        <v>77.59</v>
      </c>
      <c r="H31" s="396">
        <f>'Data_sheet for growth'!M25</f>
        <v>67.35</v>
      </c>
      <c r="I31" s="396">
        <f>'Data_sheet for growth'!N25</f>
        <v>67.35</v>
      </c>
    </row>
    <row r="32" ht="15.75" customHeight="1">
      <c r="B32" s="258" t="s">
        <v>68</v>
      </c>
      <c r="C32" s="390">
        <f t="shared" ref="C32:I32" si="4">SUM(C23:C31)</f>
        <v>21158.5</v>
      </c>
      <c r="D32" s="390">
        <f t="shared" si="4"/>
        <v>22154.82</v>
      </c>
      <c r="E32" s="390">
        <f t="shared" si="4"/>
        <v>23078.14</v>
      </c>
      <c r="F32" s="390">
        <f t="shared" si="4"/>
        <v>24302.81</v>
      </c>
      <c r="G32" s="390">
        <f t="shared" si="4"/>
        <v>25783.75</v>
      </c>
      <c r="H32" s="390">
        <f t="shared" si="4"/>
        <v>28236.42</v>
      </c>
      <c r="I32" s="390">
        <f t="shared" si="4"/>
        <v>28245.7</v>
      </c>
    </row>
    <row r="33" ht="15.75" customHeight="1">
      <c r="B33" s="258" t="s">
        <v>400</v>
      </c>
      <c r="C33" s="390">
        <f>'Data_sheet for growth'!H27</f>
        <v>4146.06</v>
      </c>
      <c r="D33" s="390">
        <f>'Data_sheet for growth'!I27</f>
        <v>6363.97</v>
      </c>
      <c r="E33" s="390">
        <f>'Data_sheet for growth'!J27</f>
        <v>7496.25</v>
      </c>
      <c r="F33" s="390">
        <f>'Data_sheet for growth'!K27</f>
        <v>9995.62</v>
      </c>
      <c r="G33" s="390">
        <f>'Data_sheet for growth'!L27</f>
        <v>11017.85</v>
      </c>
      <c r="H33" s="390">
        <f>'Data_sheet for growth'!M27</f>
        <v>12093.27</v>
      </c>
      <c r="I33" s="390">
        <f>'Data_sheet for growth'!N27</f>
        <v>12093.27</v>
      </c>
    </row>
    <row r="34" ht="15.75" customHeight="1">
      <c r="B34" s="389" t="s">
        <v>401</v>
      </c>
      <c r="C34" s="397">
        <f t="shared" ref="C34:I34" si="5">C32-C33</f>
        <v>17012.44</v>
      </c>
      <c r="D34" s="397">
        <f t="shared" si="5"/>
        <v>15790.85</v>
      </c>
      <c r="E34" s="397">
        <f t="shared" si="5"/>
        <v>15581.89</v>
      </c>
      <c r="F34" s="397">
        <f t="shared" si="5"/>
        <v>14307.19</v>
      </c>
      <c r="G34" s="397">
        <f t="shared" si="5"/>
        <v>14765.9</v>
      </c>
      <c r="H34" s="397">
        <f t="shared" si="5"/>
        <v>16143.15</v>
      </c>
      <c r="I34" s="397">
        <f t="shared" si="5"/>
        <v>16152.43</v>
      </c>
    </row>
    <row r="35" ht="15.75" customHeight="1">
      <c r="B35" s="252"/>
      <c r="C35" s="252"/>
      <c r="D35" s="252"/>
      <c r="E35" s="252"/>
      <c r="F35" s="252"/>
      <c r="G35" s="252"/>
      <c r="H35" s="252"/>
      <c r="I35" s="252"/>
    </row>
    <row r="36" ht="15.75" customHeight="1">
      <c r="B36" s="252"/>
      <c r="C36" s="252"/>
      <c r="D36" s="252"/>
      <c r="E36" s="252"/>
      <c r="F36" s="252"/>
      <c r="G36" s="252"/>
      <c r="H36" s="252"/>
      <c r="I36" s="252"/>
    </row>
    <row r="37" ht="15.75" customHeight="1">
      <c r="B37" s="389" t="s">
        <v>402</v>
      </c>
      <c r="C37" s="398">
        <f t="shared" ref="C37:I37" si="6">C34+C20</f>
        <v>16206.44</v>
      </c>
      <c r="D37" s="398">
        <f t="shared" si="6"/>
        <v>15714.85</v>
      </c>
      <c r="E37" s="398">
        <f t="shared" si="6"/>
        <v>15644.89</v>
      </c>
      <c r="F37" s="398">
        <f t="shared" si="6"/>
        <v>15067.19</v>
      </c>
      <c r="G37" s="398">
        <f t="shared" si="6"/>
        <v>15065.9</v>
      </c>
      <c r="H37" s="398">
        <f t="shared" si="6"/>
        <v>17914.15</v>
      </c>
      <c r="I37" s="398">
        <f t="shared" si="6"/>
        <v>20738.43</v>
      </c>
      <c r="J37" s="94"/>
      <c r="K37" s="94"/>
    </row>
    <row r="38" ht="15.75" customHeight="1">
      <c r="B38" s="399" t="s">
        <v>403</v>
      </c>
      <c r="C38" s="396">
        <f>'Profit and Loss Statement'!H16</f>
        <v>1248</v>
      </c>
      <c r="D38" s="396">
        <f>'Profit and Loss Statement'!I16</f>
        <v>546</v>
      </c>
      <c r="E38" s="396">
        <f>'Profit and Loss Statement'!J16</f>
        <v>1583</v>
      </c>
      <c r="F38" s="396">
        <f>'Profit and Loss Statement'!K16</f>
        <v>514</v>
      </c>
      <c r="G38" s="396">
        <f>'Profit and Loss Statement'!L16</f>
        <v>2931</v>
      </c>
      <c r="H38" s="396">
        <f>'Profit and Loss Statement'!M16</f>
        <v>2446</v>
      </c>
      <c r="I38" s="396">
        <f>'Profit and Loss Statement'!N16</f>
        <v>3098</v>
      </c>
      <c r="J38" s="400"/>
    </row>
    <row r="39" ht="15.75" customHeight="1">
      <c r="B39" s="399" t="s">
        <v>94</v>
      </c>
      <c r="C39" s="396">
        <f>'Profit and Loss Statement'!H14</f>
        <v>892</v>
      </c>
      <c r="D39" s="396">
        <f>'Profit and Loss Statement'!I14</f>
        <v>892</v>
      </c>
      <c r="E39" s="396">
        <f>'Profit and Loss Statement'!J14</f>
        <v>719</v>
      </c>
      <c r="F39" s="396">
        <f>'Profit and Loss Statement'!K14</f>
        <v>582</v>
      </c>
      <c r="G39" s="396">
        <f>'Profit and Loss Statement'!L14</f>
        <v>668</v>
      </c>
      <c r="H39" s="396">
        <f>'Profit and Loss Statement'!M14</f>
        <v>781</v>
      </c>
      <c r="I39" s="396">
        <f>'Profit and Loss Statement'!N14</f>
        <v>874</v>
      </c>
    </row>
    <row r="40" ht="15.75" customHeight="1">
      <c r="B40" s="389" t="s">
        <v>404</v>
      </c>
      <c r="C40" s="398">
        <f t="shared" ref="C40:I40" si="7">SUM(C38:C39)</f>
        <v>2140</v>
      </c>
      <c r="D40" s="401">
        <f t="shared" si="7"/>
        <v>1438</v>
      </c>
      <c r="E40" s="401">
        <f t="shared" si="7"/>
        <v>2302</v>
      </c>
      <c r="F40" s="401">
        <f t="shared" si="7"/>
        <v>1096</v>
      </c>
      <c r="G40" s="401">
        <f t="shared" si="7"/>
        <v>3599</v>
      </c>
      <c r="H40" s="401">
        <f t="shared" si="7"/>
        <v>3227</v>
      </c>
      <c r="I40" s="401">
        <f t="shared" si="7"/>
        <v>3972</v>
      </c>
    </row>
    <row r="41" ht="15.75" customHeight="1">
      <c r="B41" s="252"/>
      <c r="C41" s="252"/>
      <c r="D41" s="252"/>
      <c r="E41" s="252"/>
      <c r="F41" s="252"/>
      <c r="G41" s="252"/>
      <c r="H41" s="252"/>
      <c r="I41" s="252"/>
      <c r="M41" s="402"/>
      <c r="N41" s="402"/>
      <c r="O41" s="402"/>
      <c r="P41" s="402"/>
      <c r="Q41" s="402"/>
      <c r="R41" s="94"/>
      <c r="S41" s="94"/>
      <c r="T41" s="94"/>
      <c r="U41" s="94"/>
      <c r="V41" s="94"/>
      <c r="W41" s="94"/>
      <c r="X41" s="94"/>
      <c r="Y41" s="94"/>
    </row>
    <row r="42" ht="15.75" customHeight="1">
      <c r="B42" s="403" t="s">
        <v>405</v>
      </c>
      <c r="C42" s="404">
        <f t="shared" ref="C42:I42" si="8">C40/C37</f>
        <v>0.132046273</v>
      </c>
      <c r="D42" s="404">
        <f t="shared" si="8"/>
        <v>0.09150580502</v>
      </c>
      <c r="E42" s="404">
        <f t="shared" si="8"/>
        <v>0.1471406958</v>
      </c>
      <c r="F42" s="404">
        <f t="shared" si="8"/>
        <v>0.07274083621</v>
      </c>
      <c r="G42" s="404">
        <f t="shared" si="8"/>
        <v>0.238883837</v>
      </c>
      <c r="H42" s="404">
        <f t="shared" si="8"/>
        <v>0.1801369309</v>
      </c>
      <c r="I42" s="404">
        <f t="shared" si="8"/>
        <v>0.1915284812</v>
      </c>
      <c r="M42" s="405"/>
      <c r="N42" s="406"/>
      <c r="O42" s="406"/>
      <c r="P42" s="406"/>
      <c r="Q42" s="406"/>
      <c r="R42" s="406"/>
      <c r="S42" s="406"/>
      <c r="T42" s="406"/>
      <c r="U42" s="406"/>
      <c r="V42" s="406"/>
      <c r="W42" s="406"/>
      <c r="X42" s="406"/>
      <c r="Y42" s="406"/>
    </row>
    <row r="43" ht="15.75" customHeight="1">
      <c r="B43" s="407"/>
      <c r="C43" s="408"/>
      <c r="D43" s="408"/>
      <c r="E43" s="408"/>
      <c r="F43" s="408"/>
      <c r="G43" s="408"/>
      <c r="H43" s="408"/>
      <c r="I43" s="404">
        <f>AVERAGE(C42:I42)</f>
        <v>0.1505689799</v>
      </c>
      <c r="M43" s="65"/>
      <c r="N43" s="40"/>
      <c r="O43" s="40"/>
      <c r="P43" s="40"/>
      <c r="Q43" s="40"/>
      <c r="R43" s="40"/>
      <c r="S43" s="40"/>
      <c r="T43" s="40"/>
      <c r="U43" s="40"/>
      <c r="V43" s="40"/>
      <c r="W43" s="40"/>
      <c r="X43" s="40"/>
      <c r="Y43" s="40"/>
    </row>
    <row r="44" ht="15.75" customHeight="1">
      <c r="M44" s="405"/>
      <c r="N44" s="405"/>
      <c r="O44" s="405"/>
      <c r="P44" s="405"/>
      <c r="Q44" s="405"/>
      <c r="R44" s="405"/>
      <c r="S44" s="405"/>
      <c r="T44" s="405"/>
      <c r="U44" s="406"/>
      <c r="V44" s="405"/>
      <c r="W44" s="405"/>
      <c r="X44" s="405"/>
      <c r="Y44" s="405"/>
    </row>
    <row r="45" ht="15.75" customHeight="1">
      <c r="B45" s="409" t="s">
        <v>406</v>
      </c>
      <c r="C45" s="386">
        <v>43525.0</v>
      </c>
      <c r="D45" s="386">
        <v>43891.0</v>
      </c>
      <c r="E45" s="386">
        <v>44256.0</v>
      </c>
      <c r="F45" s="386">
        <v>44621.0</v>
      </c>
      <c r="G45" s="386">
        <v>44986.0</v>
      </c>
      <c r="H45" s="410">
        <v>45352.0</v>
      </c>
      <c r="I45" s="411">
        <v>45717.0</v>
      </c>
    </row>
    <row r="46" ht="15.75" customHeight="1">
      <c r="I46" s="252"/>
    </row>
    <row r="47" ht="15.75" customHeight="1">
      <c r="B47" s="252" t="s">
        <v>407</v>
      </c>
      <c r="C47" s="390">
        <f>ABS('Cash Flow Statement'!H13+'Cash Flow Statement'!H14)</f>
        <v>1482</v>
      </c>
      <c r="D47" s="390">
        <f>ABS('Cash Flow Statement'!I13+'Cash Flow Statement'!I14)</f>
        <v>670</v>
      </c>
      <c r="E47" s="390">
        <f>ABS('Cash Flow Statement'!J13+'Cash Flow Statement'!J14)</f>
        <v>1274</v>
      </c>
      <c r="F47" s="390">
        <f>ABS('Cash Flow Statement'!K13+'Cash Flow Statement'!K14)</f>
        <v>1494</v>
      </c>
      <c r="G47" s="390">
        <f>ABS('Cash Flow Statement'!L13+'Cash Flow Statement'!L14)</f>
        <v>1843</v>
      </c>
      <c r="H47" s="390">
        <f>ABS('Cash Flow Statement'!M13+'Cash Flow Statement'!M14)</f>
        <v>1698</v>
      </c>
      <c r="I47" s="390">
        <f>ABS('Cash Flow Statement'!N13+'Cash Flow Statement'!N14)</f>
        <v>1434</v>
      </c>
      <c r="J47" s="400"/>
    </row>
    <row r="48" ht="15.75" customHeight="1">
      <c r="B48" s="252" t="s">
        <v>408</v>
      </c>
      <c r="C48" s="252"/>
      <c r="D48" s="390">
        <f t="shared" ref="D48:I48" si="9">D20-C20</f>
        <v>730</v>
      </c>
      <c r="E48" s="390">
        <f t="shared" si="9"/>
        <v>139</v>
      </c>
      <c r="F48" s="390">
        <f t="shared" si="9"/>
        <v>697</v>
      </c>
      <c r="G48" s="390">
        <f t="shared" si="9"/>
        <v>-460</v>
      </c>
      <c r="H48" s="390">
        <f t="shared" si="9"/>
        <v>1471</v>
      </c>
      <c r="I48" s="390">
        <f t="shared" si="9"/>
        <v>2815</v>
      </c>
    </row>
    <row r="49" ht="15.75" customHeight="1">
      <c r="B49" s="412"/>
      <c r="C49" s="252"/>
      <c r="D49" s="390"/>
      <c r="E49" s="390"/>
      <c r="F49" s="390"/>
      <c r="G49" s="390"/>
      <c r="H49" s="390"/>
      <c r="I49" s="390"/>
    </row>
    <row r="50" ht="15.75" customHeight="1">
      <c r="B50" s="252" t="s">
        <v>404</v>
      </c>
      <c r="C50" s="390">
        <f t="shared" ref="C50:I50" si="10">C40</f>
        <v>2140</v>
      </c>
      <c r="D50" s="413">
        <f t="shared" si="10"/>
        <v>1438</v>
      </c>
      <c r="E50" s="413">
        <f t="shared" si="10"/>
        <v>2302</v>
      </c>
      <c r="F50" s="413">
        <f t="shared" si="10"/>
        <v>1096</v>
      </c>
      <c r="G50" s="413">
        <f t="shared" si="10"/>
        <v>3599</v>
      </c>
      <c r="H50" s="413">
        <f t="shared" si="10"/>
        <v>3227</v>
      </c>
      <c r="I50" s="413">
        <f t="shared" si="10"/>
        <v>3972</v>
      </c>
    </row>
    <row r="51" ht="15.75" customHeight="1">
      <c r="B51" s="252" t="s">
        <v>409</v>
      </c>
      <c r="C51" s="307">
        <v>0.25</v>
      </c>
      <c r="D51" s="307">
        <v>0.25</v>
      </c>
      <c r="E51" s="307">
        <v>0.25</v>
      </c>
      <c r="F51" s="307">
        <v>0.25</v>
      </c>
      <c r="G51" s="307">
        <v>0.25</v>
      </c>
      <c r="H51" s="307">
        <v>0.25</v>
      </c>
      <c r="I51" s="307">
        <v>0.25</v>
      </c>
    </row>
    <row r="52" ht="15.75" customHeight="1">
      <c r="B52" s="252" t="s">
        <v>410</v>
      </c>
      <c r="C52" s="252"/>
      <c r="D52" s="390">
        <f t="shared" ref="D52:I52" si="11">D47+D48</f>
        <v>1400</v>
      </c>
      <c r="E52" s="390">
        <f t="shared" si="11"/>
        <v>1413</v>
      </c>
      <c r="F52" s="390">
        <f t="shared" si="11"/>
        <v>2191</v>
      </c>
      <c r="G52" s="390">
        <f t="shared" si="11"/>
        <v>1383</v>
      </c>
      <c r="H52" s="390">
        <f t="shared" si="11"/>
        <v>3169</v>
      </c>
      <c r="I52" s="390">
        <f t="shared" si="11"/>
        <v>4249</v>
      </c>
    </row>
    <row r="53" ht="15.75" customHeight="1">
      <c r="B53" s="403" t="s">
        <v>411</v>
      </c>
      <c r="C53" s="389"/>
      <c r="D53" s="401">
        <f t="shared" ref="D53:I53" si="12">D52/(D50*(1-D51))</f>
        <v>1.298099212</v>
      </c>
      <c r="E53" s="401">
        <f t="shared" si="12"/>
        <v>0.8184187663</v>
      </c>
      <c r="F53" s="401">
        <f t="shared" si="12"/>
        <v>2.665450122</v>
      </c>
      <c r="G53" s="401">
        <f t="shared" si="12"/>
        <v>0.5123645457</v>
      </c>
      <c r="H53" s="401">
        <f t="shared" si="12"/>
        <v>1.309368867</v>
      </c>
      <c r="I53" s="401">
        <f t="shared" si="12"/>
        <v>1.426317556</v>
      </c>
    </row>
    <row r="54" ht="15.75" customHeight="1">
      <c r="B54" s="252"/>
      <c r="C54" s="252"/>
      <c r="D54" s="252"/>
      <c r="E54" s="252"/>
      <c r="F54" s="252"/>
      <c r="G54" s="252"/>
      <c r="H54" s="252"/>
      <c r="I54" s="252"/>
    </row>
    <row r="55" ht="15.75" customHeight="1">
      <c r="B55" s="252"/>
      <c r="C55" s="252"/>
      <c r="D55" s="252"/>
      <c r="E55" s="252"/>
      <c r="F55" s="252"/>
      <c r="G55" s="252"/>
      <c r="H55" s="335" t="s">
        <v>180</v>
      </c>
      <c r="I55" s="414">
        <f>AVERAGE(D53:I53)</f>
        <v>1.338336511</v>
      </c>
    </row>
    <row r="56" ht="15.75" customHeight="1">
      <c r="B56" s="252"/>
      <c r="C56" s="252"/>
      <c r="D56" s="252"/>
      <c r="E56" s="252"/>
      <c r="F56" s="252"/>
      <c r="G56" s="252"/>
      <c r="H56" s="252"/>
      <c r="I56" s="252"/>
    </row>
    <row r="57" ht="15.75" customHeight="1">
      <c r="B57" s="335" t="s">
        <v>412</v>
      </c>
      <c r="C57" s="252"/>
      <c r="D57" s="415">
        <f t="shared" ref="D57:I57" si="13">D53*D42</f>
        <v>0.1187836134</v>
      </c>
      <c r="E57" s="415">
        <f t="shared" si="13"/>
        <v>0.1204227067</v>
      </c>
      <c r="F57" s="415">
        <f t="shared" si="13"/>
        <v>0.1938870707</v>
      </c>
      <c r="G57" s="415">
        <f t="shared" si="13"/>
        <v>0.1223956086</v>
      </c>
      <c r="H57" s="415">
        <f t="shared" si="13"/>
        <v>0.235865689</v>
      </c>
      <c r="I57" s="415">
        <f t="shared" si="13"/>
        <v>0.2731804352</v>
      </c>
    </row>
    <row r="58" ht="15.75" customHeight="1">
      <c r="C58" s="252"/>
      <c r="D58" s="252"/>
      <c r="E58" s="252"/>
      <c r="F58" s="252"/>
      <c r="G58" s="252"/>
      <c r="H58" s="252"/>
      <c r="I58" s="252"/>
    </row>
    <row r="59" ht="15.75" customHeight="1">
      <c r="C59" s="252"/>
      <c r="D59" s="252"/>
      <c r="E59" s="252"/>
      <c r="F59" s="252"/>
      <c r="G59" s="252"/>
      <c r="H59" s="416" t="s">
        <v>180</v>
      </c>
      <c r="I59" s="416">
        <f>AVERAGE(D57:I57)</f>
        <v>0.1774225206</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A1:D1"/>
    <mergeCell ref="J38:K39"/>
    <mergeCell ref="J47:K47"/>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78"/>
    <col customWidth="1" min="2" max="2" width="37.56"/>
    <col customWidth="1" min="3" max="3" width="27.56"/>
    <col customWidth="1" min="4" max="4" width="14.22"/>
    <col customWidth="1" min="5" max="5" width="20.56"/>
    <col customWidth="1" min="6" max="6" width="14.11"/>
    <col customWidth="1" min="7" max="7" width="13.78"/>
    <col customWidth="1" min="8" max="8" width="15.0"/>
    <col customWidth="1" min="10" max="10" width="24.11"/>
  </cols>
  <sheetData>
    <row r="1" ht="11.25" customHeight="1"/>
    <row r="2" ht="15.75" customHeight="1">
      <c r="B2" s="417" t="s">
        <v>413</v>
      </c>
      <c r="C2" s="418">
        <v>45741.0</v>
      </c>
      <c r="D2" s="418">
        <v>45742.0</v>
      </c>
      <c r="E2" s="418">
        <v>45743.0</v>
      </c>
      <c r="F2" s="418">
        <v>45744.0</v>
      </c>
      <c r="G2" s="418">
        <v>45745.0</v>
      </c>
      <c r="H2" s="418">
        <v>45746.0</v>
      </c>
      <c r="K2" s="419"/>
      <c r="L2" s="419"/>
      <c r="M2" s="419"/>
      <c r="N2" s="419"/>
      <c r="O2" s="419"/>
      <c r="P2" s="419"/>
      <c r="Q2" s="419"/>
      <c r="R2" s="419"/>
      <c r="S2" s="419"/>
      <c r="T2" s="420"/>
    </row>
    <row r="3" ht="15.75" customHeight="1">
      <c r="B3" s="421" t="s">
        <v>404</v>
      </c>
      <c r="C3" s="422">
        <f>Growth!I40</f>
        <v>3972</v>
      </c>
      <c r="D3" s="423">
        <f>(C3*(1+F14))</f>
        <v>4676.722252</v>
      </c>
      <c r="E3" s="423">
        <f>(D3*(1+F14))</f>
        <v>5506.478102</v>
      </c>
      <c r="F3" s="423">
        <f>(E3*(1+F14))</f>
        <v>6483.451327</v>
      </c>
      <c r="G3" s="423">
        <f>(F3*(1+F14))</f>
        <v>7633.761603</v>
      </c>
      <c r="H3" s="423">
        <f>(G3*(1+F14))</f>
        <v>8988.162829</v>
      </c>
      <c r="K3" s="419"/>
      <c r="L3" s="424"/>
      <c r="M3" s="420"/>
      <c r="N3" s="420"/>
      <c r="O3" s="420"/>
      <c r="P3" s="420"/>
      <c r="Q3" s="420"/>
      <c r="R3" s="419"/>
      <c r="S3" s="419"/>
      <c r="T3" s="420"/>
    </row>
    <row r="4" ht="15.75" customHeight="1">
      <c r="B4" s="421" t="s">
        <v>317</v>
      </c>
      <c r="C4" s="425">
        <v>0.3</v>
      </c>
      <c r="D4" s="425">
        <v>0.3</v>
      </c>
      <c r="E4" s="425">
        <v>0.3</v>
      </c>
      <c r="F4" s="425">
        <v>0.3</v>
      </c>
      <c r="G4" s="425">
        <v>0.3</v>
      </c>
      <c r="H4" s="425">
        <v>0.3</v>
      </c>
      <c r="K4" s="419"/>
      <c r="L4" s="426"/>
      <c r="M4" s="426"/>
      <c r="N4" s="426"/>
      <c r="O4" s="426"/>
      <c r="P4" s="426"/>
      <c r="Q4" s="426"/>
      <c r="R4" s="419"/>
      <c r="S4" s="419"/>
      <c r="T4" s="419"/>
    </row>
    <row r="5" ht="15.75" customHeight="1">
      <c r="B5" s="421" t="s">
        <v>414</v>
      </c>
      <c r="C5" s="423">
        <f t="shared" ref="C5:H5" si="1">(C3*(1-0.3))</f>
        <v>2780.4</v>
      </c>
      <c r="D5" s="423">
        <f t="shared" si="1"/>
        <v>3273.705576</v>
      </c>
      <c r="E5" s="423">
        <f t="shared" si="1"/>
        <v>3854.534671</v>
      </c>
      <c r="F5" s="423">
        <f t="shared" si="1"/>
        <v>4538.415929</v>
      </c>
      <c r="G5" s="423">
        <f t="shared" si="1"/>
        <v>5343.633122</v>
      </c>
      <c r="H5" s="423">
        <f t="shared" si="1"/>
        <v>6291.71398</v>
      </c>
      <c r="K5" s="419"/>
      <c r="L5" s="420"/>
      <c r="M5" s="420"/>
      <c r="N5" s="420"/>
      <c r="O5" s="420"/>
      <c r="P5" s="420"/>
      <c r="Q5" s="420"/>
      <c r="R5" s="419"/>
      <c r="S5" s="419"/>
      <c r="T5" s="419"/>
    </row>
    <row r="6" ht="15.75" customHeight="1">
      <c r="B6" s="421" t="s">
        <v>415</v>
      </c>
      <c r="C6" s="427">
        <f>Growth!I55</f>
        <v>1.338336511</v>
      </c>
      <c r="D6" s="428">
        <f>C6-F14</f>
        <v>1.160913991</v>
      </c>
      <c r="E6" s="428">
        <f>D6-F14</f>
        <v>0.9834914702</v>
      </c>
      <c r="F6" s="428">
        <f>E6-F14</f>
        <v>0.8060689496</v>
      </c>
      <c r="G6" s="428">
        <f>F6-F14</f>
        <v>0.628646429</v>
      </c>
      <c r="H6" s="428">
        <f>G6-F14</f>
        <v>0.4512239083</v>
      </c>
      <c r="I6" s="419"/>
      <c r="K6" s="419"/>
      <c r="L6" s="420"/>
      <c r="M6" s="420"/>
      <c r="N6" s="420"/>
      <c r="O6" s="420"/>
      <c r="P6" s="420"/>
      <c r="Q6" s="420"/>
      <c r="R6" s="419"/>
      <c r="S6" s="419"/>
      <c r="T6" s="419"/>
    </row>
    <row r="7" ht="15.75" customHeight="1">
      <c r="B7" s="421"/>
      <c r="C7" s="423"/>
      <c r="D7" s="423"/>
      <c r="E7" s="423"/>
      <c r="F7" s="423"/>
      <c r="G7" s="423"/>
      <c r="H7" s="423"/>
      <c r="K7" s="419"/>
      <c r="L7" s="419"/>
      <c r="M7" s="419"/>
      <c r="N7" s="419"/>
      <c r="O7" s="419"/>
      <c r="P7" s="419"/>
      <c r="Q7" s="419"/>
      <c r="R7" s="419"/>
      <c r="S7" s="419"/>
      <c r="T7" s="419"/>
    </row>
    <row r="8" ht="15.75" customHeight="1">
      <c r="B8" s="429" t="s">
        <v>416</v>
      </c>
      <c r="C8" s="430">
        <f t="shared" ref="C8:H8" si="2">C5*(1-C6)</f>
        <v>-940.7108364</v>
      </c>
      <c r="D8" s="430">
        <f t="shared" si="2"/>
        <v>-526.785029</v>
      </c>
      <c r="E8" s="430">
        <f t="shared" si="2"/>
        <v>63.63270051</v>
      </c>
      <c r="F8" s="430">
        <f t="shared" si="2"/>
        <v>880.1397683</v>
      </c>
      <c r="G8" s="430">
        <f t="shared" si="2"/>
        <v>1984.377242</v>
      </c>
      <c r="H8" s="430">
        <f t="shared" si="2"/>
        <v>3452.742208</v>
      </c>
      <c r="K8" s="419"/>
      <c r="L8" s="420"/>
      <c r="M8" s="420"/>
      <c r="N8" s="420"/>
      <c r="O8" s="420"/>
      <c r="P8" s="420"/>
      <c r="Q8" s="420"/>
      <c r="R8" s="419"/>
    </row>
    <row r="9" ht="15.75" customHeight="1">
      <c r="B9" s="421"/>
      <c r="C9" s="423"/>
      <c r="D9" s="423"/>
      <c r="E9" s="423"/>
      <c r="F9" s="423"/>
      <c r="G9" s="423"/>
      <c r="H9" s="423"/>
      <c r="K9" s="419"/>
      <c r="L9" s="419"/>
      <c r="M9" s="419"/>
      <c r="N9" s="419"/>
      <c r="O9" s="419"/>
      <c r="P9" s="419"/>
      <c r="Q9" s="419"/>
      <c r="R9" s="419"/>
    </row>
    <row r="10" ht="15.75" customHeight="1">
      <c r="B10" s="421" t="s">
        <v>417</v>
      </c>
      <c r="C10" s="423"/>
      <c r="D10" s="423">
        <v>0.5</v>
      </c>
      <c r="E10" s="423">
        <v>1.5</v>
      </c>
      <c r="F10" s="423">
        <v>2.5</v>
      </c>
      <c r="G10" s="423">
        <v>3.5</v>
      </c>
      <c r="H10" s="423">
        <v>4.5</v>
      </c>
      <c r="L10" s="419"/>
      <c r="M10" s="420"/>
      <c r="N10" s="420"/>
      <c r="O10" s="420"/>
      <c r="P10" s="420"/>
      <c r="Q10" s="420"/>
      <c r="R10" s="419"/>
    </row>
    <row r="11" ht="15.75" customHeight="1">
      <c r="B11" s="421" t="s">
        <v>418</v>
      </c>
      <c r="C11" s="423"/>
      <c r="D11" s="423">
        <f>1/((1+F16)^D10)</f>
        <v>0.9417888727</v>
      </c>
      <c r="E11" s="423">
        <f>1/((1+F16)^E10)</f>
        <v>0.8353349736</v>
      </c>
      <c r="F11" s="423">
        <f>1/((1+F16)^F10)</f>
        <v>0.7409139547</v>
      </c>
      <c r="G11" s="423">
        <f>1/((1+F16)^G10)</f>
        <v>0.6571656947</v>
      </c>
      <c r="H11" s="423">
        <f>1/((1+F16)^H10)</f>
        <v>0.582883812</v>
      </c>
      <c r="L11" s="420"/>
      <c r="M11" s="420"/>
      <c r="N11" s="420"/>
      <c r="O11" s="420"/>
      <c r="P11" s="420"/>
      <c r="Q11" s="420"/>
      <c r="R11" s="419"/>
      <c r="S11" s="419"/>
      <c r="T11" s="419"/>
    </row>
    <row r="12" ht="15.75" customHeight="1">
      <c r="B12" s="429" t="s">
        <v>419</v>
      </c>
      <c r="C12" s="430"/>
      <c r="D12" s="430">
        <f t="shared" ref="D12:H12" si="3">D8*D11</f>
        <v>-496.1202786</v>
      </c>
      <c r="E12" s="430">
        <f t="shared" si="3"/>
        <v>53.1546202</v>
      </c>
      <c r="F12" s="430">
        <f t="shared" si="3"/>
        <v>652.1078364</v>
      </c>
      <c r="G12" s="430">
        <f t="shared" si="3"/>
        <v>1304.064649</v>
      </c>
      <c r="H12" s="430">
        <f t="shared" si="3"/>
        <v>2012.54754</v>
      </c>
      <c r="L12" s="419"/>
      <c r="M12" s="420"/>
      <c r="N12" s="420"/>
      <c r="O12" s="420"/>
      <c r="P12" s="420"/>
      <c r="Q12" s="420"/>
      <c r="R12" s="419"/>
      <c r="S12" s="419"/>
      <c r="T12" s="419"/>
    </row>
    <row r="13" ht="15.75" customHeight="1">
      <c r="K13" s="419"/>
      <c r="L13" s="419"/>
      <c r="M13" s="419"/>
      <c r="N13" s="419"/>
      <c r="O13" s="419"/>
      <c r="P13" s="419"/>
      <c r="Q13" s="419"/>
      <c r="R13" s="419"/>
      <c r="S13" s="419"/>
      <c r="T13" s="419"/>
    </row>
    <row r="14" ht="15.75" customHeight="1">
      <c r="B14" s="431" t="s">
        <v>420</v>
      </c>
      <c r="C14" s="3"/>
      <c r="E14" s="432" t="s">
        <v>421</v>
      </c>
      <c r="F14" s="433">
        <f>Growth!I59</f>
        <v>0.1774225206</v>
      </c>
      <c r="G14" s="434" t="s">
        <v>422</v>
      </c>
      <c r="H14" s="3"/>
      <c r="K14" s="419"/>
      <c r="L14" s="419"/>
      <c r="M14" s="419"/>
      <c r="N14" s="419"/>
      <c r="O14" s="419"/>
      <c r="P14" s="419"/>
      <c r="Q14" s="419"/>
      <c r="R14" s="419"/>
      <c r="S14" s="419"/>
      <c r="T14" s="419"/>
    </row>
    <row r="15" ht="15.75" customHeight="1">
      <c r="B15" s="435" t="s">
        <v>423</v>
      </c>
      <c r="C15" s="436">
        <f>(H8*(1+0.055))</f>
        <v>3642.643029</v>
      </c>
      <c r="E15" s="432" t="s">
        <v>424</v>
      </c>
      <c r="F15" s="433">
        <v>0.055</v>
      </c>
      <c r="G15" s="434" t="s">
        <v>425</v>
      </c>
      <c r="H15" s="3"/>
      <c r="K15" s="419"/>
      <c r="L15" s="420"/>
      <c r="M15" s="419"/>
      <c r="N15" s="419"/>
      <c r="O15" s="419"/>
      <c r="P15" s="419"/>
      <c r="Q15" s="419"/>
      <c r="R15" s="419"/>
      <c r="S15" s="419"/>
      <c r="T15" s="419"/>
    </row>
    <row r="16" ht="15.75" customHeight="1">
      <c r="B16" s="435" t="s">
        <v>24</v>
      </c>
      <c r="C16" s="437">
        <f>F16</f>
        <v>0.1274385755</v>
      </c>
      <c r="E16" s="432" t="s">
        <v>24</v>
      </c>
      <c r="F16" s="433">
        <f>WACC!B12</f>
        <v>0.1274385755</v>
      </c>
      <c r="G16" s="434" t="s">
        <v>426</v>
      </c>
      <c r="H16" s="3"/>
      <c r="K16" s="419"/>
      <c r="L16" s="420"/>
      <c r="M16" s="419"/>
      <c r="N16" s="419"/>
      <c r="O16" s="419"/>
      <c r="P16" s="419"/>
      <c r="Q16" s="419"/>
      <c r="R16" s="419"/>
      <c r="S16" s="419"/>
      <c r="T16" s="419"/>
    </row>
    <row r="17" ht="15.75" customHeight="1">
      <c r="B17" s="435" t="s">
        <v>427</v>
      </c>
      <c r="C17" s="438">
        <f>F15</f>
        <v>0.055</v>
      </c>
      <c r="K17" s="419"/>
      <c r="L17" s="420"/>
      <c r="M17" s="419"/>
      <c r="N17" s="419"/>
      <c r="O17" s="419"/>
      <c r="P17" s="419"/>
      <c r="Q17" s="419"/>
      <c r="R17" s="419"/>
      <c r="S17" s="419"/>
      <c r="T17" s="419"/>
    </row>
    <row r="18" ht="15.75" customHeight="1">
      <c r="B18" s="435"/>
      <c r="K18" s="419"/>
      <c r="L18" s="419"/>
      <c r="M18" s="419"/>
      <c r="N18" s="419"/>
      <c r="O18" s="419"/>
      <c r="P18" s="419"/>
      <c r="Q18" s="419"/>
      <c r="R18" s="419"/>
      <c r="S18" s="419"/>
      <c r="T18" s="419"/>
    </row>
    <row r="19" ht="15.75" customHeight="1">
      <c r="B19" s="435" t="s">
        <v>428</v>
      </c>
      <c r="C19" s="436">
        <f>C15/(0.1482-0.055)</f>
        <v>39084.15268</v>
      </c>
      <c r="K19" s="419"/>
      <c r="L19" s="420"/>
      <c r="M19" s="419"/>
      <c r="N19" s="419"/>
      <c r="O19" s="419"/>
      <c r="P19" s="419"/>
      <c r="Q19" s="419"/>
      <c r="R19" s="419"/>
      <c r="S19" s="419"/>
      <c r="T19" s="419"/>
    </row>
    <row r="20" ht="15.75" customHeight="1">
      <c r="B20" s="435"/>
      <c r="C20" s="435"/>
      <c r="K20" s="419"/>
      <c r="L20" s="419"/>
      <c r="M20" s="419"/>
      <c r="N20" s="419"/>
      <c r="O20" s="419"/>
      <c r="P20" s="419"/>
      <c r="Q20" s="419"/>
      <c r="R20" s="419"/>
      <c r="S20" s="419"/>
      <c r="T20" s="419"/>
    </row>
    <row r="21" ht="15.75" customHeight="1">
      <c r="B21" s="435" t="s">
        <v>429</v>
      </c>
      <c r="C21" s="435"/>
      <c r="K21" s="419"/>
      <c r="L21" s="419"/>
      <c r="M21" s="419"/>
      <c r="N21" s="419"/>
      <c r="O21" s="419"/>
      <c r="P21" s="419"/>
      <c r="Q21" s="419"/>
      <c r="R21" s="419"/>
      <c r="S21" s="419"/>
      <c r="T21" s="419"/>
    </row>
    <row r="22" ht="15.75" customHeight="1">
      <c r="B22" s="435" t="s">
        <v>419</v>
      </c>
      <c r="C22" s="436">
        <f>(D12+E12+F12+G12+H12)</f>
        <v>3525.754367</v>
      </c>
      <c r="K22" s="419"/>
      <c r="L22" s="420"/>
      <c r="M22" s="419"/>
      <c r="N22" s="419"/>
      <c r="O22" s="419"/>
      <c r="P22" s="419"/>
      <c r="Q22" s="419"/>
      <c r="R22" s="419"/>
      <c r="S22" s="419"/>
      <c r="T22" s="419"/>
    </row>
    <row r="23" ht="15.75" customHeight="1">
      <c r="B23" s="435" t="s">
        <v>430</v>
      </c>
      <c r="C23" s="436">
        <f>C19/(1+0.1482)^5</f>
        <v>19584.52255</v>
      </c>
      <c r="K23" s="419"/>
      <c r="L23" s="420"/>
      <c r="M23" s="419"/>
      <c r="N23" s="419"/>
      <c r="O23" s="419"/>
      <c r="P23" s="419"/>
      <c r="Q23" s="419"/>
      <c r="R23" s="419"/>
      <c r="S23" s="419"/>
      <c r="T23" s="419"/>
    </row>
    <row r="24" ht="15.75" customHeight="1">
      <c r="B24" s="439" t="s">
        <v>431</v>
      </c>
      <c r="C24" s="440">
        <f>(C23+C22)</f>
        <v>23110.27692</v>
      </c>
      <c r="K24" s="419"/>
      <c r="L24" s="420"/>
      <c r="M24" s="419"/>
      <c r="N24" s="419"/>
      <c r="O24" s="419"/>
      <c r="P24" s="419"/>
      <c r="Q24" s="419"/>
      <c r="R24" s="419"/>
      <c r="S24" s="419"/>
      <c r="T24" s="419"/>
    </row>
    <row r="25" ht="15.75" customHeight="1">
      <c r="B25" s="435"/>
      <c r="C25" s="435"/>
      <c r="K25" s="419"/>
      <c r="L25" s="419"/>
      <c r="M25" s="419"/>
      <c r="N25" s="419"/>
      <c r="O25" s="419"/>
      <c r="P25" s="419"/>
      <c r="Q25" s="419"/>
      <c r="R25" s="419"/>
      <c r="S25" s="419"/>
      <c r="T25" s="419"/>
    </row>
    <row r="26" ht="15.75" customHeight="1">
      <c r="B26" s="435" t="s">
        <v>432</v>
      </c>
      <c r="C26" s="436">
        <f>'Balance Sheet'!N32</f>
        <v>297</v>
      </c>
      <c r="K26" s="419"/>
      <c r="L26" s="420"/>
      <c r="M26" s="419"/>
      <c r="N26" s="419"/>
      <c r="O26" s="419"/>
      <c r="P26" s="419"/>
      <c r="Q26" s="419"/>
      <c r="R26" s="419"/>
      <c r="S26" s="419"/>
      <c r="T26" s="419"/>
    </row>
    <row r="27" ht="15.75" customHeight="1">
      <c r="B27" s="435" t="s">
        <v>433</v>
      </c>
      <c r="C27" s="441">
        <f>'Balance Sheet'!N5+'Balance Sheet'!N8+'Balance Sheet'!N9</f>
        <v>6420</v>
      </c>
      <c r="K27" s="419"/>
      <c r="L27" s="419"/>
      <c r="M27" s="419"/>
      <c r="N27" s="419"/>
      <c r="O27" s="419"/>
      <c r="P27" s="419"/>
      <c r="Q27" s="419"/>
      <c r="R27" s="419"/>
      <c r="S27" s="419"/>
      <c r="T27" s="419"/>
    </row>
    <row r="28" ht="15.75" customHeight="1">
      <c r="B28" s="435" t="s">
        <v>434</v>
      </c>
      <c r="C28" s="442">
        <f>C24+C26-C27</f>
        <v>16987.27692</v>
      </c>
      <c r="K28" s="419"/>
      <c r="L28" s="419"/>
      <c r="M28" s="419"/>
      <c r="N28" s="419"/>
      <c r="O28" s="419"/>
      <c r="P28" s="419"/>
      <c r="Q28" s="419"/>
      <c r="R28" s="419"/>
      <c r="S28" s="419"/>
      <c r="T28" s="419"/>
    </row>
    <row r="29" ht="15.75" customHeight="1">
      <c r="B29" s="443" t="s">
        <v>435</v>
      </c>
      <c r="C29" s="444">
        <v>48.7356557</v>
      </c>
      <c r="K29" s="419"/>
      <c r="L29" s="419"/>
      <c r="M29" s="419"/>
      <c r="N29" s="419"/>
      <c r="O29" s="419"/>
      <c r="P29" s="419"/>
      <c r="Q29" s="419"/>
      <c r="R29" s="419"/>
      <c r="S29" s="419"/>
      <c r="T29" s="419"/>
    </row>
    <row r="30" ht="15.75" customHeight="1">
      <c r="B30" s="435"/>
      <c r="C30" s="435"/>
      <c r="K30" s="419"/>
      <c r="L30" s="419"/>
      <c r="M30" s="419"/>
      <c r="N30" s="419"/>
      <c r="O30" s="419"/>
      <c r="P30" s="419"/>
      <c r="Q30" s="419"/>
      <c r="R30" s="419"/>
      <c r="S30" s="419"/>
      <c r="T30" s="419"/>
    </row>
    <row r="31" ht="15.75" customHeight="1">
      <c r="B31" s="439" t="s">
        <v>436</v>
      </c>
      <c r="C31" s="439">
        <f>C28/C29</f>
        <v>348.5595233</v>
      </c>
      <c r="K31" s="419"/>
      <c r="L31" s="419"/>
      <c r="M31" s="419"/>
      <c r="N31" s="419"/>
      <c r="O31" s="419"/>
      <c r="P31" s="419"/>
      <c r="Q31" s="419"/>
      <c r="R31" s="419"/>
      <c r="S31" s="419"/>
      <c r="T31" s="419"/>
    </row>
    <row r="32" ht="15.75" customHeight="1">
      <c r="B32" s="435"/>
      <c r="C32" s="435"/>
      <c r="K32" s="419"/>
      <c r="L32" s="419"/>
      <c r="M32" s="419"/>
      <c r="N32" s="419"/>
      <c r="O32" s="419"/>
      <c r="P32" s="419"/>
      <c r="Q32" s="419"/>
      <c r="R32" s="419"/>
      <c r="S32" s="419"/>
      <c r="T32" s="419"/>
    </row>
    <row r="33" ht="15.75" customHeight="1">
      <c r="B33" s="443" t="s">
        <v>437</v>
      </c>
      <c r="C33" s="443">
        <v>1400.0</v>
      </c>
      <c r="K33" s="419"/>
      <c r="L33" s="419"/>
      <c r="M33" s="419"/>
      <c r="N33" s="419"/>
      <c r="O33" s="419"/>
      <c r="P33" s="419"/>
      <c r="Q33" s="419"/>
      <c r="R33" s="419"/>
      <c r="S33" s="419"/>
      <c r="T33" s="419"/>
    </row>
    <row r="34" ht="15.75" customHeight="1">
      <c r="B34" s="435" t="s">
        <v>438</v>
      </c>
      <c r="C34" s="435">
        <f>C33/C31</f>
        <v>4.016530625</v>
      </c>
      <c r="K34" s="419"/>
      <c r="L34" s="419"/>
      <c r="M34" s="419"/>
      <c r="N34" s="419"/>
      <c r="O34" s="419"/>
      <c r="P34" s="419"/>
      <c r="Q34" s="419"/>
      <c r="R34" s="419"/>
      <c r="S34" s="419"/>
      <c r="T34" s="419"/>
    </row>
    <row r="35" ht="15.75" customHeight="1">
      <c r="B35" s="252"/>
      <c r="C35" s="252"/>
    </row>
    <row r="36" ht="15.75" customHeight="1">
      <c r="B36" s="445" t="s">
        <v>439</v>
      </c>
      <c r="C36" s="446" t="s">
        <v>440</v>
      </c>
    </row>
    <row r="37" ht="15.75" customHeight="1">
      <c r="B37" s="349" t="s">
        <v>441</v>
      </c>
      <c r="C37" s="349"/>
    </row>
    <row r="38" ht="15.75" customHeight="1"/>
    <row r="39" ht="15.75" customHeight="1">
      <c r="B39" s="447" t="s">
        <v>442</v>
      </c>
      <c r="C39" s="2"/>
      <c r="D39" s="2"/>
      <c r="E39" s="2"/>
      <c r="F39" s="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4:C14"/>
    <mergeCell ref="G14:H14"/>
    <mergeCell ref="G15:H15"/>
    <mergeCell ref="G16:H16"/>
    <mergeCell ref="B39:F3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0"/>
    <col customWidth="1" min="2" max="2" width="23.0"/>
    <col customWidth="1" min="3" max="3" width="16.44"/>
    <col customWidth="1" min="4" max="4" width="19.33"/>
    <col customWidth="1" min="5" max="5" width="17.33"/>
    <col customWidth="1" min="6" max="6" width="13.44"/>
    <col customWidth="1" min="7" max="7" width="17.22"/>
    <col customWidth="1" min="8" max="8" width="17.11"/>
    <col customWidth="1" min="9" max="9" width="27.67"/>
    <col customWidth="1" min="10" max="10" width="26.0"/>
    <col customWidth="1" min="11" max="11" width="18.0"/>
    <col customWidth="1" min="12" max="12" width="16.56"/>
    <col customWidth="1" min="13" max="13" width="14.0"/>
    <col customWidth="1" min="14" max="14" width="17.22"/>
    <col customWidth="1" min="15" max="15" width="20.78"/>
    <col customWidth="1" min="16" max="16" width="17.56"/>
    <col customWidth="1" min="17" max="17" width="23.0"/>
  </cols>
  <sheetData>
    <row r="1">
      <c r="A1" s="448"/>
      <c r="F1" s="449"/>
    </row>
    <row r="2">
      <c r="A2" s="450"/>
      <c r="B2" s="451" t="s">
        <v>314</v>
      </c>
      <c r="C2" s="452" t="s">
        <v>443</v>
      </c>
      <c r="D2" s="452" t="s">
        <v>444</v>
      </c>
      <c r="E2" s="452" t="s">
        <v>445</v>
      </c>
      <c r="F2" s="453" t="s">
        <v>446</v>
      </c>
      <c r="G2" s="453" t="s">
        <v>28</v>
      </c>
      <c r="H2" s="452" t="s">
        <v>447</v>
      </c>
      <c r="I2" s="454" t="s">
        <v>448</v>
      </c>
      <c r="J2" s="452" t="s">
        <v>449</v>
      </c>
      <c r="K2" s="452" t="s">
        <v>450</v>
      </c>
      <c r="L2" s="452" t="s">
        <v>332</v>
      </c>
      <c r="M2" s="452" t="s">
        <v>451</v>
      </c>
      <c r="N2" s="452" t="s">
        <v>452</v>
      </c>
      <c r="O2" s="452" t="s">
        <v>453</v>
      </c>
      <c r="P2" s="452" t="s">
        <v>454</v>
      </c>
      <c r="Q2" s="455" t="s">
        <v>455</v>
      </c>
    </row>
    <row r="3">
      <c r="A3" s="456"/>
      <c r="B3" s="457" t="s">
        <v>456</v>
      </c>
      <c r="C3" s="458">
        <v>34.29</v>
      </c>
      <c r="D3" s="458">
        <v>3.63</v>
      </c>
      <c r="E3" s="458">
        <v>1.96</v>
      </c>
      <c r="F3" s="459">
        <v>0.75</v>
      </c>
      <c r="G3" s="460">
        <v>13.32</v>
      </c>
      <c r="H3" s="461">
        <v>10.97</v>
      </c>
      <c r="I3" s="461">
        <v>12.12</v>
      </c>
      <c r="J3" s="461">
        <v>6.87</v>
      </c>
      <c r="K3" s="461">
        <v>179215.94</v>
      </c>
      <c r="L3" s="461">
        <v>128101.12</v>
      </c>
      <c r="M3" s="461">
        <v>12.43</v>
      </c>
      <c r="N3" s="461">
        <v>319.53</v>
      </c>
      <c r="O3" s="461">
        <v>14792.79</v>
      </c>
      <c r="P3" s="461">
        <v>65478.24</v>
      </c>
      <c r="Q3" s="462">
        <v>-7.52</v>
      </c>
    </row>
    <row r="4">
      <c r="A4" s="456"/>
      <c r="B4" s="463" t="s">
        <v>457</v>
      </c>
      <c r="C4" s="458">
        <v>18.14</v>
      </c>
      <c r="D4" s="458">
        <v>4.15</v>
      </c>
      <c r="E4" s="458">
        <v>4.11</v>
      </c>
      <c r="F4" s="459">
        <v>0.28</v>
      </c>
      <c r="G4" s="464">
        <v>17.5</v>
      </c>
      <c r="H4" s="461">
        <v>25.72</v>
      </c>
      <c r="I4" s="461">
        <v>11.01</v>
      </c>
      <c r="J4" s="461">
        <v>22.71</v>
      </c>
      <c r="K4" s="461">
        <v>264598.45</v>
      </c>
      <c r="L4" s="461">
        <v>231223.46</v>
      </c>
      <c r="M4" s="461">
        <v>33.55</v>
      </c>
      <c r="N4" s="461">
        <v>385.69</v>
      </c>
      <c r="O4" s="461">
        <v>24023.83</v>
      </c>
      <c r="P4" s="461">
        <v>56203.09</v>
      </c>
      <c r="Q4" s="465">
        <v>-14.05</v>
      </c>
    </row>
    <row r="5">
      <c r="A5" s="456"/>
      <c r="B5" s="466" t="s">
        <v>458</v>
      </c>
      <c r="C5" s="467">
        <v>23.97</v>
      </c>
      <c r="D5" s="467">
        <v>4.05</v>
      </c>
      <c r="E5" s="467">
        <v>2.46</v>
      </c>
      <c r="F5" s="468">
        <v>1.65</v>
      </c>
      <c r="G5" s="469">
        <v>15.47</v>
      </c>
      <c r="H5" s="470">
        <v>20.14</v>
      </c>
      <c r="I5" s="470">
        <v>13.83</v>
      </c>
      <c r="J5" s="470">
        <v>10.49</v>
      </c>
      <c r="K5" s="470">
        <v>80114.78</v>
      </c>
      <c r="L5" s="470">
        <v>71655.04</v>
      </c>
      <c r="M5" s="470">
        <v>59.31</v>
      </c>
      <c r="N5" s="470">
        <v>50.39</v>
      </c>
      <c r="O5" s="470">
        <v>5794.57</v>
      </c>
      <c r="P5" s="470">
        <v>29165.26</v>
      </c>
      <c r="Q5" s="471">
        <v>-3.34</v>
      </c>
    </row>
    <row r="6">
      <c r="A6" s="456"/>
      <c r="B6" s="463" t="s">
        <v>459</v>
      </c>
      <c r="C6" s="458">
        <v>14.22</v>
      </c>
      <c r="D6" s="458">
        <v>1.78</v>
      </c>
      <c r="E6" s="458">
        <v>1.77</v>
      </c>
      <c r="F6" s="459">
        <v>0.78</v>
      </c>
      <c r="G6" s="464">
        <v>5.19</v>
      </c>
      <c r="H6" s="461">
        <v>13.59</v>
      </c>
      <c r="I6" s="461">
        <v>9.1</v>
      </c>
      <c r="J6" s="461">
        <v>12.73</v>
      </c>
      <c r="K6" s="461">
        <v>571477.02</v>
      </c>
      <c r="L6" s="461">
        <v>332837.97</v>
      </c>
      <c r="M6" s="461">
        <v>24.16</v>
      </c>
      <c r="N6" s="461">
        <v>969.67</v>
      </c>
      <c r="O6" s="461">
        <v>62767.59</v>
      </c>
      <c r="P6" s="461">
        <v>188138.06</v>
      </c>
      <c r="Q6" s="465">
        <v>-1.58</v>
      </c>
    </row>
    <row r="7">
      <c r="A7" s="456"/>
      <c r="B7" s="463" t="s">
        <v>460</v>
      </c>
      <c r="C7" s="472">
        <v>17.88</v>
      </c>
      <c r="D7" s="472">
        <v>2.97</v>
      </c>
      <c r="E7" s="472">
        <v>6.06</v>
      </c>
      <c r="F7" s="459">
        <v>1.85</v>
      </c>
      <c r="G7" s="460">
        <v>-2.19</v>
      </c>
      <c r="H7" s="473">
        <v>17.26</v>
      </c>
      <c r="I7" s="473">
        <v>9.74</v>
      </c>
      <c r="J7" s="473">
        <v>33.9</v>
      </c>
      <c r="K7" s="473">
        <v>398343.52</v>
      </c>
      <c r="L7" s="473">
        <v>277390.55</v>
      </c>
      <c r="M7" s="473">
        <v>16.69</v>
      </c>
      <c r="N7" s="473">
        <v>930.06</v>
      </c>
      <c r="O7" s="473">
        <v>40898.48</v>
      </c>
      <c r="P7" s="473">
        <v>45792.32</v>
      </c>
      <c r="Q7" s="465">
        <v>-12.27</v>
      </c>
    </row>
    <row r="8">
      <c r="A8" s="456"/>
      <c r="B8" s="463" t="s">
        <v>461</v>
      </c>
      <c r="C8" s="472">
        <v>96.73</v>
      </c>
      <c r="D8" s="472">
        <v>12.96</v>
      </c>
      <c r="E8" s="472">
        <v>14.37</v>
      </c>
      <c r="F8" s="459">
        <v>0.76</v>
      </c>
      <c r="G8" s="464">
        <v>21.12</v>
      </c>
      <c r="H8" s="473">
        <v>14.61</v>
      </c>
      <c r="I8" s="473">
        <v>22.56</v>
      </c>
      <c r="J8" s="473">
        <v>20.57</v>
      </c>
      <c r="K8" s="473">
        <v>237831.75</v>
      </c>
      <c r="L8" s="473">
        <v>161123.75</v>
      </c>
      <c r="M8" s="473">
        <v>9.12</v>
      </c>
      <c r="N8" s="473">
        <v>162.26</v>
      </c>
      <c r="O8" s="473">
        <v>10543.0</v>
      </c>
      <c r="P8" s="473">
        <v>11212.0</v>
      </c>
      <c r="Q8" s="465">
        <v>-43.52</v>
      </c>
    </row>
    <row r="9">
      <c r="A9" s="456"/>
      <c r="B9" s="463" t="s">
        <v>462</v>
      </c>
      <c r="C9" s="472">
        <v>47.37</v>
      </c>
      <c r="D9" s="472">
        <v>4.81</v>
      </c>
      <c r="E9" s="472">
        <v>4.45</v>
      </c>
      <c r="F9" s="459">
        <v>1.84</v>
      </c>
      <c r="G9" s="460">
        <v>23.72</v>
      </c>
      <c r="H9" s="473">
        <v>12.84</v>
      </c>
      <c r="I9" s="473">
        <v>18.39</v>
      </c>
      <c r="J9" s="473">
        <v>9.38</v>
      </c>
      <c r="K9" s="473">
        <v>142369.52</v>
      </c>
      <c r="L9" s="473">
        <v>105712.92</v>
      </c>
      <c r="M9" s="473">
        <v>8.82</v>
      </c>
      <c r="N9" s="473">
        <v>120.13</v>
      </c>
      <c r="O9" s="473">
        <v>7742.18</v>
      </c>
      <c r="P9" s="473">
        <v>23767.09</v>
      </c>
      <c r="Q9" s="465">
        <v>-11.73</v>
      </c>
    </row>
    <row r="10">
      <c r="A10" s="456"/>
      <c r="B10" s="463" t="s">
        <v>463</v>
      </c>
      <c r="C10" s="472">
        <v>50.37</v>
      </c>
      <c r="D10" s="472">
        <v>3.21</v>
      </c>
      <c r="E10" s="472">
        <v>7.66</v>
      </c>
      <c r="F10" s="459">
        <v>4.15</v>
      </c>
      <c r="G10" s="464">
        <v>-2.98</v>
      </c>
      <c r="H10" s="473">
        <v>7.41</v>
      </c>
      <c r="I10" s="473">
        <v>22.82</v>
      </c>
      <c r="J10" s="473">
        <v>15.45</v>
      </c>
      <c r="K10" s="473">
        <v>135412.67</v>
      </c>
      <c r="L10" s="473">
        <v>89922.66</v>
      </c>
      <c r="M10" s="473">
        <v>11.16</v>
      </c>
      <c r="N10" s="473">
        <v>174.78</v>
      </c>
      <c r="O10" s="473">
        <v>5933.49</v>
      </c>
      <c r="P10" s="473">
        <v>11745.39</v>
      </c>
      <c r="Q10" s="465">
        <v>-30.81</v>
      </c>
    </row>
    <row r="11">
      <c r="A11" s="456"/>
      <c r="B11" s="463" t="s">
        <v>464</v>
      </c>
      <c r="C11" s="458">
        <v>29.55</v>
      </c>
      <c r="D11" s="458">
        <v>2.24</v>
      </c>
      <c r="E11" s="458">
        <v>8.52</v>
      </c>
      <c r="F11" s="459">
        <v>-18.46</v>
      </c>
      <c r="G11" s="460">
        <v>14.84</v>
      </c>
      <c r="H11" s="461">
        <v>7.67</v>
      </c>
      <c r="I11" s="461">
        <v>17.51</v>
      </c>
      <c r="J11" s="461">
        <v>32.87</v>
      </c>
      <c r="K11" s="461">
        <v>125202.15</v>
      </c>
      <c r="L11" s="461">
        <v>88396.31</v>
      </c>
      <c r="M11" s="461">
        <v>2.99</v>
      </c>
      <c r="N11" s="461">
        <v>1004.5</v>
      </c>
      <c r="O11" s="461">
        <v>7149.17</v>
      </c>
      <c r="P11" s="461">
        <v>10379.86</v>
      </c>
      <c r="Q11" s="465">
        <v>-15.11</v>
      </c>
    </row>
    <row r="12">
      <c r="A12" s="456"/>
      <c r="B12" s="463" t="s">
        <v>465</v>
      </c>
      <c r="C12" s="458">
        <v>47.63</v>
      </c>
      <c r="D12" s="458">
        <v>2.75</v>
      </c>
      <c r="E12" s="458">
        <v>12.69</v>
      </c>
      <c r="F12" s="459">
        <v>-4.57</v>
      </c>
      <c r="G12" s="464">
        <v>19.84</v>
      </c>
      <c r="H12" s="461">
        <v>5.79</v>
      </c>
      <c r="I12" s="461">
        <v>24.87</v>
      </c>
      <c r="J12" s="461">
        <v>26.63</v>
      </c>
      <c r="K12" s="461">
        <v>62637.28</v>
      </c>
      <c r="L12" s="461">
        <v>38983.56</v>
      </c>
      <c r="M12" s="461">
        <v>2.09</v>
      </c>
      <c r="N12" s="461">
        <v>392.98</v>
      </c>
      <c r="O12" s="461">
        <v>2518.46</v>
      </c>
      <c r="P12" s="461">
        <v>3072.01</v>
      </c>
      <c r="Q12" s="465">
        <v>-30.65</v>
      </c>
    </row>
    <row r="13">
      <c r="A13" s="456"/>
      <c r="B13" s="463" t="s">
        <v>466</v>
      </c>
      <c r="C13" s="472">
        <v>11.91</v>
      </c>
      <c r="D13" s="472">
        <v>1.68</v>
      </c>
      <c r="E13" s="472">
        <v>2.05</v>
      </c>
      <c r="F13" s="459">
        <v>0.94</v>
      </c>
      <c r="G13" s="460">
        <v>41.36</v>
      </c>
      <c r="H13" s="473">
        <v>14.87</v>
      </c>
      <c r="I13" s="473">
        <v>8.19</v>
      </c>
      <c r="J13" s="473">
        <v>17.76</v>
      </c>
      <c r="K13" s="473">
        <v>53370.59</v>
      </c>
      <c r="L13" s="473">
        <v>31261.71</v>
      </c>
      <c r="M13" s="473">
        <v>18.9</v>
      </c>
      <c r="N13" s="473">
        <v>138.66</v>
      </c>
      <c r="O13" s="473">
        <v>6512.96</v>
      </c>
      <c r="P13" s="473">
        <v>15282.96</v>
      </c>
      <c r="Q13" s="465">
        <v>-16.39</v>
      </c>
    </row>
    <row r="14">
      <c r="A14" s="456"/>
      <c r="B14" s="463" t="s">
        <v>467</v>
      </c>
      <c r="C14" s="472">
        <v>17.47</v>
      </c>
      <c r="D14" s="472">
        <v>2.01</v>
      </c>
      <c r="E14" s="472">
        <v>1.4</v>
      </c>
      <c r="F14" s="459">
        <v>8.65</v>
      </c>
      <c r="G14" s="460">
        <v>18.13</v>
      </c>
      <c r="H14" s="473">
        <v>11.67</v>
      </c>
      <c r="I14" s="473">
        <v>8.77</v>
      </c>
      <c r="J14" s="473">
        <v>8.4</v>
      </c>
      <c r="K14" s="473">
        <v>37816.15</v>
      </c>
      <c r="L14" s="473">
        <v>23880.15</v>
      </c>
      <c r="M14" s="473">
        <v>10.33</v>
      </c>
      <c r="N14" s="473">
        <v>132.56</v>
      </c>
      <c r="O14" s="473">
        <v>4311.0</v>
      </c>
      <c r="P14" s="473">
        <v>17001.0</v>
      </c>
      <c r="Q14" s="465">
        <v>4.84</v>
      </c>
    </row>
    <row r="15">
      <c r="A15" s="456"/>
      <c r="B15" s="463" t="s">
        <v>468</v>
      </c>
      <c r="C15" s="458">
        <v>15.56</v>
      </c>
      <c r="D15" s="458">
        <v>2.24</v>
      </c>
      <c r="E15" s="458">
        <v>4.26</v>
      </c>
      <c r="F15" s="459">
        <v>0.83</v>
      </c>
      <c r="G15" s="464">
        <v>6.04</v>
      </c>
      <c r="H15" s="461">
        <v>15.05</v>
      </c>
      <c r="I15" s="461">
        <v>8.46</v>
      </c>
      <c r="J15" s="461">
        <v>36.04</v>
      </c>
      <c r="K15" s="461">
        <v>16816.47</v>
      </c>
      <c r="L15" s="461">
        <v>16968.1</v>
      </c>
      <c r="M15" s="461">
        <v>37.61</v>
      </c>
      <c r="N15" s="461">
        <v>29.02</v>
      </c>
      <c r="O15" s="461">
        <v>1986.78</v>
      </c>
      <c r="P15" s="461">
        <v>3983.55</v>
      </c>
      <c r="Q15" s="465">
        <v>57.42</v>
      </c>
    </row>
    <row r="16">
      <c r="B16" s="474"/>
      <c r="C16" s="94"/>
      <c r="D16" s="94"/>
      <c r="E16" s="94"/>
      <c r="F16" s="449"/>
      <c r="Q16" s="474"/>
    </row>
    <row r="17">
      <c r="F17" s="449"/>
      <c r="Q17" s="94"/>
    </row>
    <row r="18">
      <c r="B18" s="451" t="s">
        <v>314</v>
      </c>
      <c r="C18" s="475" t="s">
        <v>443</v>
      </c>
      <c r="D18" s="475" t="s">
        <v>444</v>
      </c>
      <c r="E18" s="475" t="s">
        <v>445</v>
      </c>
      <c r="F18" s="476" t="s">
        <v>446</v>
      </c>
      <c r="Q18" s="477"/>
    </row>
    <row r="19">
      <c r="B19" s="466" t="s">
        <v>469</v>
      </c>
      <c r="C19" s="478">
        <v>23.97</v>
      </c>
      <c r="D19" s="467">
        <v>4.05</v>
      </c>
      <c r="E19" s="467">
        <v>2.46</v>
      </c>
      <c r="F19" s="479">
        <v>1.65</v>
      </c>
      <c r="Q19" s="480"/>
    </row>
    <row r="20">
      <c r="B20" s="457" t="s">
        <v>456</v>
      </c>
      <c r="C20" s="458">
        <v>34.29</v>
      </c>
      <c r="D20" s="458">
        <v>3.63</v>
      </c>
      <c r="E20" s="458">
        <v>1.96</v>
      </c>
      <c r="F20" s="481">
        <v>0.75</v>
      </c>
      <c r="Q20" s="482"/>
    </row>
    <row r="21">
      <c r="B21" s="463" t="s">
        <v>470</v>
      </c>
      <c r="C21" s="458">
        <v>18.14</v>
      </c>
      <c r="D21" s="458">
        <v>4.15</v>
      </c>
      <c r="E21" s="458">
        <v>4.11</v>
      </c>
      <c r="F21" s="481">
        <v>0.28</v>
      </c>
      <c r="Q21" s="480"/>
    </row>
    <row r="22">
      <c r="B22" s="463" t="s">
        <v>471</v>
      </c>
      <c r="C22" s="458">
        <v>14.22</v>
      </c>
      <c r="D22" s="458">
        <v>1.78</v>
      </c>
      <c r="E22" s="458">
        <v>1.77</v>
      </c>
      <c r="F22" s="481">
        <v>0.78</v>
      </c>
      <c r="Q22" s="480"/>
    </row>
    <row r="23">
      <c r="B23" s="463" t="s">
        <v>472</v>
      </c>
      <c r="C23" s="472">
        <v>17.88</v>
      </c>
      <c r="D23" s="472">
        <v>2.97</v>
      </c>
      <c r="E23" s="472">
        <v>6.06</v>
      </c>
      <c r="F23" s="481">
        <v>1.85</v>
      </c>
      <c r="Q23" s="480"/>
    </row>
    <row r="24">
      <c r="B24" s="463" t="s">
        <v>473</v>
      </c>
      <c r="C24" s="472">
        <v>96.73</v>
      </c>
      <c r="D24" s="472">
        <v>12.96</v>
      </c>
      <c r="E24" s="472">
        <v>14.37</v>
      </c>
      <c r="F24" s="481">
        <v>0.76</v>
      </c>
      <c r="Q24" s="480"/>
    </row>
    <row r="25">
      <c r="B25" s="463" t="s">
        <v>474</v>
      </c>
      <c r="C25" s="472">
        <v>47.37</v>
      </c>
      <c r="D25" s="472">
        <v>4.81</v>
      </c>
      <c r="E25" s="472">
        <v>4.45</v>
      </c>
      <c r="F25" s="481">
        <v>1.84</v>
      </c>
      <c r="Q25" s="480"/>
    </row>
    <row r="26">
      <c r="B26" s="463" t="s">
        <v>475</v>
      </c>
      <c r="C26" s="472">
        <v>50.37</v>
      </c>
      <c r="D26" s="472">
        <v>3.21</v>
      </c>
      <c r="E26" s="472">
        <v>7.66</v>
      </c>
      <c r="F26" s="481">
        <v>4.15</v>
      </c>
      <c r="Q26" s="480"/>
    </row>
    <row r="27">
      <c r="B27" s="463" t="s">
        <v>476</v>
      </c>
      <c r="C27" s="458">
        <v>29.55</v>
      </c>
      <c r="D27" s="458">
        <v>2.24</v>
      </c>
      <c r="E27" s="458">
        <v>8.52</v>
      </c>
      <c r="F27" s="481">
        <v>-18.46</v>
      </c>
      <c r="Q27" s="480"/>
    </row>
    <row r="28">
      <c r="B28" s="463" t="s">
        <v>477</v>
      </c>
      <c r="C28" s="458">
        <v>47.63</v>
      </c>
      <c r="D28" s="458">
        <v>2.75</v>
      </c>
      <c r="E28" s="458">
        <v>12.69</v>
      </c>
      <c r="F28" s="481">
        <v>-4.57</v>
      </c>
      <c r="Q28" s="480"/>
    </row>
    <row r="29">
      <c r="B29" s="463" t="s">
        <v>478</v>
      </c>
      <c r="C29" s="472">
        <v>11.91</v>
      </c>
      <c r="D29" s="472">
        <v>1.68</v>
      </c>
      <c r="E29" s="472">
        <v>2.05</v>
      </c>
      <c r="F29" s="481">
        <v>0.94</v>
      </c>
      <c r="Q29" s="480"/>
    </row>
    <row r="30">
      <c r="B30" s="463" t="s">
        <v>479</v>
      </c>
      <c r="C30" s="472">
        <v>17.47</v>
      </c>
      <c r="D30" s="472">
        <v>2.01</v>
      </c>
      <c r="E30" s="472">
        <v>1.4</v>
      </c>
      <c r="F30" s="481">
        <v>8.65</v>
      </c>
      <c r="Q30" s="480"/>
    </row>
    <row r="31">
      <c r="B31" s="463" t="s">
        <v>480</v>
      </c>
      <c r="C31" s="458">
        <v>15.56</v>
      </c>
      <c r="D31" s="458">
        <v>2.24</v>
      </c>
      <c r="E31" s="458">
        <v>4.26</v>
      </c>
      <c r="F31" s="481">
        <v>0.83</v>
      </c>
      <c r="Q31" s="480"/>
    </row>
    <row r="32">
      <c r="B32" s="446" t="s">
        <v>481</v>
      </c>
      <c r="C32" s="483">
        <f t="shared" ref="C32:E32" si="1">AVERAGE(C20:C31)</f>
        <v>33.42666667</v>
      </c>
      <c r="D32" s="483">
        <f t="shared" si="1"/>
        <v>3.7025</v>
      </c>
      <c r="E32" s="483">
        <f t="shared" si="1"/>
        <v>5.775</v>
      </c>
      <c r="F32" s="484">
        <f>AVERAGE(F19:F31)</f>
        <v>-0.04230769231</v>
      </c>
      <c r="Q32" s="474"/>
    </row>
    <row r="33">
      <c r="B33" s="446" t="s">
        <v>326</v>
      </c>
      <c r="C33" s="483">
        <f t="shared" ref="C33:E33" si="2">MEDIAN(C20:C31)</f>
        <v>23.845</v>
      </c>
      <c r="D33" s="483">
        <f t="shared" si="2"/>
        <v>2.86</v>
      </c>
      <c r="E33" s="483">
        <f t="shared" si="2"/>
        <v>4.355</v>
      </c>
      <c r="F33" s="484">
        <f>MEDIAN(F19:F31)</f>
        <v>0.83</v>
      </c>
      <c r="Q33" s="474"/>
    </row>
    <row r="34">
      <c r="F34" s="449"/>
      <c r="Q34" s="94"/>
    </row>
    <row r="35">
      <c r="F35" s="449"/>
      <c r="Q35" s="94"/>
    </row>
    <row r="36">
      <c r="F36" s="449"/>
      <c r="Q36" s="94"/>
    </row>
    <row r="37">
      <c r="F37" s="449"/>
      <c r="Q37" s="94"/>
    </row>
    <row r="38">
      <c r="B38" s="485" t="s">
        <v>482</v>
      </c>
      <c r="C38" s="268"/>
      <c r="D38" s="268"/>
      <c r="E38" s="268"/>
      <c r="F38" s="486"/>
      <c r="G38" s="268"/>
      <c r="H38" s="268"/>
      <c r="I38" s="268"/>
      <c r="J38" s="268"/>
      <c r="K38" s="269"/>
      <c r="Q38" s="474"/>
    </row>
    <row r="39">
      <c r="B39" s="290"/>
      <c r="F39" s="449"/>
      <c r="K39" s="270"/>
      <c r="Q39" s="94"/>
    </row>
    <row r="40">
      <c r="B40" s="487" t="s">
        <v>282</v>
      </c>
      <c r="C40" s="488"/>
      <c r="F40" s="449"/>
      <c r="K40" s="270"/>
      <c r="Q40" s="489"/>
    </row>
    <row r="41">
      <c r="B41" s="490" t="s">
        <v>283</v>
      </c>
      <c r="C41" s="491">
        <v>0.06810189559221912</v>
      </c>
      <c r="F41" s="449"/>
      <c r="K41" s="270"/>
      <c r="Q41" s="492"/>
    </row>
    <row r="42">
      <c r="B42" s="490" t="s">
        <v>284</v>
      </c>
      <c r="C42" s="491">
        <v>0.004637868183253513</v>
      </c>
      <c r="F42" s="449"/>
      <c r="K42" s="270"/>
      <c r="Q42" s="492"/>
    </row>
    <row r="43">
      <c r="B43" s="490" t="s">
        <v>285</v>
      </c>
      <c r="C43" s="491">
        <v>-0.08584959834554162</v>
      </c>
      <c r="F43" s="449"/>
      <c r="K43" s="270"/>
      <c r="Q43" s="492"/>
    </row>
    <row r="44">
      <c r="B44" s="490" t="s">
        <v>286</v>
      </c>
      <c r="C44" s="491">
        <v>24.567172829850836</v>
      </c>
      <c r="F44" s="449"/>
      <c r="K44" s="270"/>
      <c r="Q44" s="492"/>
    </row>
    <row r="45">
      <c r="B45" s="493" t="s">
        <v>287</v>
      </c>
      <c r="C45" s="494">
        <v>13.0</v>
      </c>
      <c r="F45" s="449"/>
      <c r="K45" s="270"/>
      <c r="Q45" s="492"/>
    </row>
    <row r="46">
      <c r="B46" s="290"/>
      <c r="F46" s="449"/>
      <c r="K46" s="270"/>
      <c r="Q46" s="94"/>
    </row>
    <row r="47">
      <c r="B47" s="495" t="s">
        <v>288</v>
      </c>
      <c r="F47" s="449"/>
      <c r="K47" s="270"/>
      <c r="Q47" s="492"/>
    </row>
    <row r="48">
      <c r="B48" s="496"/>
      <c r="C48" s="497" t="s">
        <v>289</v>
      </c>
      <c r="D48" s="497" t="s">
        <v>290</v>
      </c>
      <c r="E48" s="497" t="s">
        <v>291</v>
      </c>
      <c r="F48" s="497" t="s">
        <v>292</v>
      </c>
      <c r="G48" s="497" t="s">
        <v>293</v>
      </c>
      <c r="K48" s="270"/>
      <c r="Q48" s="498"/>
    </row>
    <row r="49">
      <c r="B49" s="490" t="s">
        <v>294</v>
      </c>
      <c r="C49" s="491">
        <v>1.0</v>
      </c>
      <c r="D49" s="491">
        <v>30.934302938320798</v>
      </c>
      <c r="E49" s="491">
        <v>30.934302938320798</v>
      </c>
      <c r="F49" s="499">
        <v>0.05125426051991003</v>
      </c>
      <c r="G49" s="491">
        <v>0.8250468947493912</v>
      </c>
      <c r="K49" s="270"/>
      <c r="Q49" s="492"/>
    </row>
    <row r="50">
      <c r="B50" s="490" t="s">
        <v>295</v>
      </c>
      <c r="C50" s="491">
        <v>11.0</v>
      </c>
      <c r="D50" s="491">
        <v>6639.005789369374</v>
      </c>
      <c r="E50" s="491">
        <v>603.5459808517612</v>
      </c>
      <c r="F50" s="449"/>
      <c r="K50" s="270"/>
      <c r="Q50" s="492"/>
    </row>
    <row r="51">
      <c r="B51" s="493" t="s">
        <v>296</v>
      </c>
      <c r="C51" s="494">
        <v>12.0</v>
      </c>
      <c r="D51" s="494">
        <v>6669.940092307695</v>
      </c>
      <c r="E51" s="298"/>
      <c r="F51" s="500"/>
      <c r="G51" s="298"/>
      <c r="K51" s="270"/>
      <c r="Q51" s="492"/>
    </row>
    <row r="52">
      <c r="B52" s="290"/>
      <c r="F52" s="449"/>
      <c r="K52" s="270"/>
      <c r="Q52" s="94"/>
    </row>
    <row r="53">
      <c r="B53" s="496"/>
      <c r="C53" s="497" t="s">
        <v>297</v>
      </c>
      <c r="D53" s="497" t="s">
        <v>286</v>
      </c>
      <c r="E53" s="497" t="s">
        <v>298</v>
      </c>
      <c r="F53" s="497" t="s">
        <v>299</v>
      </c>
      <c r="G53" s="497" t="s">
        <v>300</v>
      </c>
      <c r="H53" s="497" t="s">
        <v>301</v>
      </c>
      <c r="I53" s="497" t="s">
        <v>300</v>
      </c>
      <c r="J53" s="497" t="s">
        <v>301</v>
      </c>
      <c r="K53" s="270"/>
      <c r="Q53" s="498"/>
    </row>
    <row r="54">
      <c r="B54" s="490" t="s">
        <v>304</v>
      </c>
      <c r="C54" s="491">
        <v>30.680752562750058</v>
      </c>
      <c r="D54" s="491">
        <v>11.221303397942481</v>
      </c>
      <c r="E54" s="491">
        <v>2.734152306083768</v>
      </c>
      <c r="F54" s="499">
        <v>0.0194335516198117</v>
      </c>
      <c r="G54" s="491">
        <v>5.982830502706445</v>
      </c>
      <c r="H54" s="491">
        <v>55.37867462279367</v>
      </c>
      <c r="I54" s="491">
        <v>5.982830502706445</v>
      </c>
      <c r="J54" s="491">
        <v>55.37867462279367</v>
      </c>
      <c r="K54" s="270"/>
      <c r="Q54" s="492"/>
    </row>
    <row r="55">
      <c r="B55" s="493" t="s">
        <v>305</v>
      </c>
      <c r="C55" s="494">
        <v>0.13712487815765773</v>
      </c>
      <c r="D55" s="494">
        <v>0.6056912066446373</v>
      </c>
      <c r="E55" s="494">
        <v>0.22639403817217663</v>
      </c>
      <c r="F55" s="501">
        <v>0.8250468948284205</v>
      </c>
      <c r="G55" s="494">
        <v>-1.1959924687011694</v>
      </c>
      <c r="H55" s="494">
        <v>1.4702422250164848</v>
      </c>
      <c r="I55" s="494">
        <v>-1.1959924687011694</v>
      </c>
      <c r="J55" s="494">
        <v>1.4702422250164848</v>
      </c>
      <c r="K55" s="270"/>
      <c r="Q55" s="492"/>
    </row>
    <row r="56">
      <c r="B56" s="290"/>
      <c r="F56" s="449"/>
      <c r="K56" s="270"/>
      <c r="Q56" s="94"/>
    </row>
    <row r="57">
      <c r="B57" s="490" t="s">
        <v>483</v>
      </c>
      <c r="F57" s="449"/>
      <c r="K57" s="270"/>
      <c r="Q57" s="492"/>
    </row>
    <row r="58">
      <c r="B58" s="290"/>
      <c r="F58" s="449"/>
      <c r="K58" s="270"/>
      <c r="Q58" s="94"/>
    </row>
    <row r="59">
      <c r="B59" s="487" t="s">
        <v>484</v>
      </c>
      <c r="C59" s="497" t="s">
        <v>485</v>
      </c>
      <c r="D59" s="497" t="s">
        <v>486</v>
      </c>
      <c r="F59" s="449"/>
      <c r="K59" s="270"/>
      <c r="Q59" s="489"/>
    </row>
    <row r="60">
      <c r="B60" s="502">
        <v>1.0</v>
      </c>
      <c r="C60" s="491">
        <v>32.50725593981006</v>
      </c>
      <c r="D60" s="491">
        <v>1.7827440601899411</v>
      </c>
      <c r="F60" s="503" t="s">
        <v>487</v>
      </c>
      <c r="G60" s="503" t="s">
        <v>488</v>
      </c>
      <c r="H60" s="503" t="s">
        <v>489</v>
      </c>
      <c r="I60" s="503" t="s">
        <v>490</v>
      </c>
      <c r="K60" s="270"/>
      <c r="Q60" s="504"/>
    </row>
    <row r="61">
      <c r="B61" s="502">
        <v>2.0</v>
      </c>
      <c r="C61" s="491">
        <v>33.08043793050907</v>
      </c>
      <c r="D61" s="491">
        <v>-14.94043793050907</v>
      </c>
      <c r="F61" s="505">
        <f>C19</f>
        <v>23.97</v>
      </c>
      <c r="G61" s="505">
        <f>C62</f>
        <v>32.80207443</v>
      </c>
      <c r="H61" s="506" t="s">
        <v>491</v>
      </c>
      <c r="I61" s="507">
        <f>(F61-G61)*100/G61</f>
        <v>-26.9253533</v>
      </c>
      <c r="K61" s="270"/>
      <c r="Q61" s="504"/>
    </row>
    <row r="62">
      <c r="B62" s="508">
        <v>3.0</v>
      </c>
      <c r="C62" s="508">
        <v>32.80207442784902</v>
      </c>
      <c r="D62" s="491">
        <v>-8.832074427849022</v>
      </c>
      <c r="F62" s="449"/>
      <c r="K62" s="270"/>
      <c r="Q62" s="504"/>
    </row>
    <row r="63">
      <c r="B63" s="502">
        <v>4.0</v>
      </c>
      <c r="C63" s="491">
        <v>31.3924306803883</v>
      </c>
      <c r="D63" s="491">
        <v>-17.172430680388302</v>
      </c>
      <c r="F63" s="449"/>
      <c r="K63" s="270"/>
      <c r="Q63" s="504"/>
    </row>
    <row r="64">
      <c r="B64" s="502">
        <v>5.0</v>
      </c>
      <c r="C64" s="491">
        <v>30.38044907958479</v>
      </c>
      <c r="D64" s="491">
        <v>-12.50044907958479</v>
      </c>
      <c r="F64" s="449"/>
      <c r="K64" s="270"/>
      <c r="Q64" s="504"/>
    </row>
    <row r="65">
      <c r="B65" s="502">
        <v>6.0</v>
      </c>
      <c r="C65" s="491">
        <v>33.57682998943979</v>
      </c>
      <c r="D65" s="491">
        <v>63.15317001056022</v>
      </c>
      <c r="F65" s="449"/>
      <c r="K65" s="270"/>
      <c r="Q65" s="504"/>
    </row>
    <row r="66">
      <c r="B66" s="502">
        <v>7.0</v>
      </c>
      <c r="C66" s="491">
        <v>33.9333546726497</v>
      </c>
      <c r="D66" s="491">
        <v>13.436645327350298</v>
      </c>
      <c r="F66" s="449"/>
      <c r="K66" s="270"/>
      <c r="Q66" s="504"/>
    </row>
    <row r="67">
      <c r="B67" s="502">
        <v>8.0</v>
      </c>
      <c r="C67" s="491">
        <v>30.27212042584024</v>
      </c>
      <c r="D67" s="491">
        <v>20.09787957415976</v>
      </c>
      <c r="F67" s="449"/>
      <c r="K67" s="270"/>
      <c r="Q67" s="504"/>
    </row>
    <row r="68">
      <c r="B68" s="502">
        <v>9.0</v>
      </c>
      <c r="C68" s="491">
        <v>32.7156857546097</v>
      </c>
      <c r="D68" s="491">
        <v>-3.165685754609701</v>
      </c>
      <c r="F68" s="449"/>
      <c r="K68" s="270"/>
      <c r="Q68" s="504"/>
    </row>
    <row r="69">
      <c r="B69" s="502">
        <v>10.0</v>
      </c>
      <c r="C69" s="491">
        <v>33.401310145397986</v>
      </c>
      <c r="D69" s="491">
        <v>14.228689854602017</v>
      </c>
      <c r="F69" s="449"/>
      <c r="K69" s="270"/>
      <c r="Q69" s="504"/>
    </row>
    <row r="70">
      <c r="B70" s="502">
        <v>11.0</v>
      </c>
      <c r="C70" s="491">
        <v>36.35223752335078</v>
      </c>
      <c r="D70" s="491">
        <v>-24.44223752335078</v>
      </c>
      <c r="F70" s="449"/>
      <c r="K70" s="270"/>
      <c r="Q70" s="504"/>
    </row>
    <row r="71">
      <c r="B71" s="502">
        <v>12.0</v>
      </c>
      <c r="C71" s="491">
        <v>33.16682660374839</v>
      </c>
      <c r="D71" s="491">
        <v>-15.696826603748391</v>
      </c>
      <c r="F71" s="449"/>
      <c r="K71" s="270"/>
      <c r="Q71" s="504"/>
    </row>
    <row r="72">
      <c r="B72" s="509">
        <v>13.0</v>
      </c>
      <c r="C72" s="494">
        <v>31.508986826822312</v>
      </c>
      <c r="D72" s="494">
        <v>-15.948986826822312</v>
      </c>
      <c r="F72" s="449"/>
      <c r="K72" s="270"/>
      <c r="Q72" s="504"/>
    </row>
    <row r="73">
      <c r="B73" s="510"/>
      <c r="C73" s="298"/>
      <c r="D73" s="298"/>
      <c r="E73" s="298"/>
      <c r="F73" s="500"/>
      <c r="G73" s="298"/>
      <c r="H73" s="298"/>
      <c r="I73" s="298"/>
      <c r="J73" s="298"/>
      <c r="K73" s="299"/>
      <c r="Q73" s="94"/>
    </row>
    <row r="74">
      <c r="F74" s="449"/>
      <c r="Q74" s="94"/>
    </row>
    <row r="75">
      <c r="B75" s="485" t="s">
        <v>492</v>
      </c>
      <c r="C75" s="268"/>
      <c r="D75" s="268"/>
      <c r="E75" s="268"/>
      <c r="F75" s="486"/>
      <c r="G75" s="268"/>
      <c r="H75" s="268"/>
      <c r="I75" s="268"/>
      <c r="J75" s="268"/>
      <c r="K75" s="269"/>
      <c r="Q75" s="474"/>
    </row>
    <row r="76">
      <c r="B76" s="290"/>
      <c r="F76" s="449"/>
      <c r="K76" s="270"/>
      <c r="Q76" s="94"/>
    </row>
    <row r="77">
      <c r="B77" s="487" t="s">
        <v>282</v>
      </c>
      <c r="C77" s="488"/>
      <c r="F77" s="449"/>
      <c r="K77" s="270"/>
      <c r="Q77" s="489"/>
    </row>
    <row r="78">
      <c r="B78" s="490" t="s">
        <v>283</v>
      </c>
      <c r="C78" s="491">
        <v>0.14089008291075986</v>
      </c>
      <c r="F78" s="449"/>
      <c r="K78" s="270"/>
      <c r="Q78" s="492"/>
    </row>
    <row r="79">
      <c r="B79" s="490" t="s">
        <v>284</v>
      </c>
      <c r="C79" s="491">
        <v>0.01985001546260079</v>
      </c>
      <c r="F79" s="449"/>
      <c r="K79" s="270"/>
      <c r="Q79" s="492"/>
    </row>
    <row r="80">
      <c r="B80" s="490" t="s">
        <v>285</v>
      </c>
      <c r="C80" s="491">
        <v>-0.06925452858625358</v>
      </c>
      <c r="F80" s="449"/>
      <c r="K80" s="270"/>
      <c r="Q80" s="492"/>
    </row>
    <row r="81">
      <c r="B81" s="490" t="s">
        <v>286</v>
      </c>
      <c r="C81" s="491">
        <v>3.042105548785062</v>
      </c>
      <c r="F81" s="449"/>
      <c r="K81" s="270"/>
      <c r="Q81" s="492"/>
    </row>
    <row r="82">
      <c r="B82" s="493" t="s">
        <v>287</v>
      </c>
      <c r="C82" s="494">
        <v>13.0</v>
      </c>
      <c r="F82" s="449"/>
      <c r="K82" s="270"/>
      <c r="Q82" s="492"/>
    </row>
    <row r="83">
      <c r="B83" s="290"/>
      <c r="F83" s="449"/>
      <c r="K83" s="270"/>
      <c r="Q83" s="94"/>
    </row>
    <row r="84">
      <c r="B84" s="495" t="s">
        <v>288</v>
      </c>
      <c r="F84" s="449"/>
      <c r="K84" s="270"/>
      <c r="Q84" s="492"/>
    </row>
    <row r="85">
      <c r="B85" s="496"/>
      <c r="C85" s="497" t="s">
        <v>289</v>
      </c>
      <c r="D85" s="497" t="s">
        <v>290</v>
      </c>
      <c r="E85" s="497" t="s">
        <v>291</v>
      </c>
      <c r="F85" s="497" t="s">
        <v>292</v>
      </c>
      <c r="G85" s="497" t="s">
        <v>293</v>
      </c>
      <c r="K85" s="270"/>
      <c r="Q85" s="498"/>
    </row>
    <row r="86">
      <c r="B86" s="490" t="s">
        <v>294</v>
      </c>
      <c r="C86" s="491">
        <v>1.0</v>
      </c>
      <c r="D86" s="491">
        <v>2.0616244382548388</v>
      </c>
      <c r="E86" s="491">
        <v>2.0616244382548388</v>
      </c>
      <c r="F86" s="499">
        <v>0.2227722017377405</v>
      </c>
      <c r="G86" s="491">
        <v>0.6461600600972199</v>
      </c>
      <c r="K86" s="270"/>
      <c r="Q86" s="492"/>
    </row>
    <row r="87">
      <c r="B87" s="490" t="s">
        <v>295</v>
      </c>
      <c r="C87" s="491">
        <v>11.0</v>
      </c>
      <c r="D87" s="491">
        <v>101.7984678694375</v>
      </c>
      <c r="E87" s="491">
        <v>9.254406169948863</v>
      </c>
      <c r="F87" s="449"/>
      <c r="K87" s="270"/>
      <c r="Q87" s="492"/>
    </row>
    <row r="88">
      <c r="B88" s="493" t="s">
        <v>296</v>
      </c>
      <c r="C88" s="494">
        <v>12.0</v>
      </c>
      <c r="D88" s="494">
        <v>103.86009230769234</v>
      </c>
      <c r="E88" s="298"/>
      <c r="F88" s="500"/>
      <c r="G88" s="298"/>
      <c r="K88" s="270"/>
      <c r="Q88" s="492"/>
    </row>
    <row r="89">
      <c r="B89" s="290"/>
      <c r="F89" s="449"/>
      <c r="K89" s="270"/>
      <c r="Q89" s="94"/>
    </row>
    <row r="90">
      <c r="B90" s="496"/>
      <c r="C90" s="497" t="s">
        <v>297</v>
      </c>
      <c r="D90" s="497" t="s">
        <v>286</v>
      </c>
      <c r="E90" s="497" t="s">
        <v>298</v>
      </c>
      <c r="F90" s="497" t="s">
        <v>299</v>
      </c>
      <c r="G90" s="497" t="s">
        <v>300</v>
      </c>
      <c r="H90" s="497" t="s">
        <v>301</v>
      </c>
      <c r="I90" s="497" t="s">
        <v>300</v>
      </c>
      <c r="J90" s="497" t="s">
        <v>301</v>
      </c>
      <c r="K90" s="270"/>
      <c r="Q90" s="498"/>
    </row>
    <row r="91">
      <c r="B91" s="490" t="s">
        <v>304</v>
      </c>
      <c r="C91" s="491">
        <v>3.208145646019564</v>
      </c>
      <c r="D91" s="491">
        <v>1.3895123206852433</v>
      </c>
      <c r="E91" s="491">
        <v>2.3088284992229897</v>
      </c>
      <c r="F91" s="499">
        <v>0.04138395769337935</v>
      </c>
      <c r="G91" s="491">
        <v>0.1498496726616949</v>
      </c>
      <c r="H91" s="491">
        <v>6.266441619377433</v>
      </c>
      <c r="I91" s="491">
        <v>0.1498496726616949</v>
      </c>
      <c r="J91" s="491">
        <v>6.266441619377433</v>
      </c>
      <c r="K91" s="270"/>
      <c r="Q91" s="492"/>
    </row>
    <row r="92">
      <c r="B92" s="493" t="s">
        <v>305</v>
      </c>
      <c r="C92" s="494">
        <v>0.03539980456597869</v>
      </c>
      <c r="D92" s="494">
        <v>0.0750015719490975</v>
      </c>
      <c r="E92" s="494">
        <v>0.471987501675352</v>
      </c>
      <c r="F92" s="501">
        <v>0.6461600601204897</v>
      </c>
      <c r="G92" s="494">
        <v>-0.1296775409694083</v>
      </c>
      <c r="H92" s="494">
        <v>0.2004771501013657</v>
      </c>
      <c r="I92" s="494">
        <v>-0.1296775409694083</v>
      </c>
      <c r="J92" s="494">
        <v>0.2004771501013657</v>
      </c>
      <c r="K92" s="270"/>
      <c r="Q92" s="492"/>
    </row>
    <row r="93">
      <c r="B93" s="290"/>
      <c r="F93" s="449"/>
      <c r="K93" s="270"/>
      <c r="Q93" s="94"/>
    </row>
    <row r="94">
      <c r="B94" s="490" t="s">
        <v>483</v>
      </c>
      <c r="F94" s="449"/>
      <c r="K94" s="270"/>
      <c r="Q94" s="492"/>
    </row>
    <row r="95">
      <c r="B95" s="290"/>
      <c r="F95" s="449"/>
      <c r="K95" s="270"/>
      <c r="Q95" s="94"/>
    </row>
    <row r="96">
      <c r="B96" s="487" t="s">
        <v>484</v>
      </c>
      <c r="C96" s="497" t="s">
        <v>485</v>
      </c>
      <c r="D96" s="497" t="s">
        <v>486</v>
      </c>
      <c r="E96" s="497"/>
      <c r="F96" s="449"/>
      <c r="K96" s="270"/>
      <c r="Q96" s="489"/>
    </row>
    <row r="97">
      <c r="B97" s="502">
        <v>1.0</v>
      </c>
      <c r="C97" s="491">
        <v>3.6796710428384003</v>
      </c>
      <c r="D97" s="491">
        <v>-0.0496710428384004</v>
      </c>
      <c r="F97" s="449"/>
      <c r="K97" s="270"/>
      <c r="Q97" s="504"/>
    </row>
    <row r="98">
      <c r="B98" s="502">
        <v>2.0</v>
      </c>
      <c r="C98" s="491">
        <v>3.8276422259241913</v>
      </c>
      <c r="D98" s="491">
        <v>0.322357774075809</v>
      </c>
      <c r="F98" s="449"/>
      <c r="G98" s="503" t="s">
        <v>487</v>
      </c>
      <c r="H98" s="503" t="s">
        <v>488</v>
      </c>
      <c r="I98" s="503" t="s">
        <v>489</v>
      </c>
      <c r="J98" s="503" t="s">
        <v>490</v>
      </c>
      <c r="K98" s="270"/>
      <c r="Q98" s="504"/>
    </row>
    <row r="99">
      <c r="B99" s="508">
        <v>3.0</v>
      </c>
      <c r="C99" s="508">
        <v>3.755780622655254</v>
      </c>
      <c r="D99" s="491">
        <v>0.2942193773447457</v>
      </c>
      <c r="F99" s="449"/>
      <c r="G99" s="505">
        <f>D19</f>
        <v>4.05</v>
      </c>
      <c r="H99" s="505">
        <f>C99</f>
        <v>3.755780623</v>
      </c>
      <c r="I99" s="506" t="s">
        <v>493</v>
      </c>
      <c r="J99" s="507">
        <f>(G99-H99)*100/H99</f>
        <v>7.833774304</v>
      </c>
      <c r="K99" s="270"/>
      <c r="Q99" s="504"/>
    </row>
    <row r="100">
      <c r="B100" s="502">
        <v>4.0</v>
      </c>
      <c r="C100" s="491">
        <v>3.3918706317169933</v>
      </c>
      <c r="D100" s="491">
        <v>-1.6118706317169933</v>
      </c>
      <c r="F100" s="449"/>
      <c r="K100" s="270"/>
      <c r="Q100" s="504"/>
    </row>
    <row r="101">
      <c r="B101" s="502">
        <v>5.0</v>
      </c>
      <c r="C101" s="491">
        <v>3.130620074020071</v>
      </c>
      <c r="D101" s="491">
        <v>-0.16062007402007072</v>
      </c>
      <c r="F101" s="449"/>
      <c r="K101" s="270"/>
      <c r="Q101" s="504"/>
    </row>
    <row r="102">
      <c r="B102" s="502">
        <v>6.0</v>
      </c>
      <c r="C102" s="491">
        <v>3.955789518453034</v>
      </c>
      <c r="D102" s="491">
        <v>9.004210481546966</v>
      </c>
      <c r="F102" s="449"/>
      <c r="K102" s="270"/>
      <c r="Q102" s="504"/>
    </row>
    <row r="103">
      <c r="B103" s="502">
        <v>7.0</v>
      </c>
      <c r="C103" s="491">
        <v>4.047829010324579</v>
      </c>
      <c r="D103" s="491">
        <v>0.762170989675421</v>
      </c>
      <c r="F103" s="449"/>
      <c r="K103" s="270"/>
      <c r="Q103" s="504"/>
    </row>
    <row r="104">
      <c r="B104" s="502">
        <v>8.0</v>
      </c>
      <c r="C104" s="491">
        <v>3.1026542284129475</v>
      </c>
      <c r="D104" s="491">
        <v>0.1073457715870525</v>
      </c>
      <c r="F104" s="449"/>
      <c r="K104" s="270"/>
      <c r="Q104" s="504"/>
    </row>
    <row r="105">
      <c r="B105" s="502">
        <v>9.0</v>
      </c>
      <c r="C105" s="491">
        <v>3.7334787457786875</v>
      </c>
      <c r="D105" s="491">
        <v>-1.4934787457786873</v>
      </c>
      <c r="F105" s="449"/>
      <c r="K105" s="270"/>
      <c r="Q105" s="504"/>
    </row>
    <row r="106">
      <c r="B106" s="502">
        <v>10.0</v>
      </c>
      <c r="C106" s="491">
        <v>3.9104777686085814</v>
      </c>
      <c r="D106" s="491">
        <v>-1.1604777686085814</v>
      </c>
      <c r="F106" s="449"/>
      <c r="K106" s="270"/>
      <c r="Q106" s="504"/>
    </row>
    <row r="107">
      <c r="B107" s="502">
        <v>11.0</v>
      </c>
      <c r="C107" s="491">
        <v>4.672281562868442</v>
      </c>
      <c r="D107" s="491">
        <v>-2.9922815628684427</v>
      </c>
      <c r="F107" s="449"/>
      <c r="K107" s="270"/>
      <c r="Q107" s="504"/>
    </row>
    <row r="108">
      <c r="B108" s="502">
        <v>12.0</v>
      </c>
      <c r="C108" s="491">
        <v>3.8499441028007575</v>
      </c>
      <c r="D108" s="491">
        <v>-1.8399441028007577</v>
      </c>
      <c r="F108" s="449"/>
      <c r="K108" s="270"/>
      <c r="Q108" s="504"/>
    </row>
    <row r="109">
      <c r="B109" s="509">
        <v>13.0</v>
      </c>
      <c r="C109" s="494">
        <v>3.4219604655980755</v>
      </c>
      <c r="D109" s="494">
        <v>-1.1819604655980753</v>
      </c>
      <c r="E109" s="494"/>
      <c r="F109" s="449"/>
      <c r="K109" s="270"/>
      <c r="Q109" s="504"/>
    </row>
    <row r="110">
      <c r="B110" s="510"/>
      <c r="C110" s="298"/>
      <c r="D110" s="298"/>
      <c r="E110" s="298"/>
      <c r="F110" s="500"/>
      <c r="G110" s="298"/>
      <c r="H110" s="298"/>
      <c r="I110" s="298"/>
      <c r="J110" s="298"/>
      <c r="K110" s="299"/>
      <c r="Q110" s="94"/>
    </row>
    <row r="111">
      <c r="F111" s="449"/>
      <c r="Q111" s="94"/>
    </row>
    <row r="112">
      <c r="B112" s="485" t="s">
        <v>494</v>
      </c>
      <c r="C112" s="268"/>
      <c r="D112" s="268"/>
      <c r="E112" s="268"/>
      <c r="F112" s="486"/>
      <c r="G112" s="268"/>
      <c r="H112" s="268"/>
      <c r="I112" s="268"/>
      <c r="J112" s="268"/>
      <c r="K112" s="269"/>
      <c r="Q112" s="474"/>
    </row>
    <row r="113">
      <c r="B113" s="290"/>
      <c r="F113" s="449"/>
      <c r="K113" s="270"/>
      <c r="Q113" s="94"/>
    </row>
    <row r="114">
      <c r="B114" s="490" t="s">
        <v>281</v>
      </c>
      <c r="F114" s="449"/>
      <c r="K114" s="270"/>
      <c r="Q114" s="492"/>
    </row>
    <row r="115">
      <c r="B115" s="290"/>
      <c r="F115" s="449"/>
      <c r="K115" s="270"/>
      <c r="Q115" s="94"/>
    </row>
    <row r="116">
      <c r="B116" s="487" t="s">
        <v>282</v>
      </c>
      <c r="C116" s="488"/>
      <c r="F116" s="449"/>
      <c r="K116" s="270"/>
      <c r="Q116" s="489"/>
    </row>
    <row r="117">
      <c r="B117" s="490" t="s">
        <v>283</v>
      </c>
      <c r="C117" s="491">
        <v>0.04046016837060842</v>
      </c>
      <c r="F117" s="449"/>
      <c r="K117" s="270"/>
      <c r="Q117" s="492"/>
    </row>
    <row r="118">
      <c r="B118" s="490" t="s">
        <v>284</v>
      </c>
      <c r="C118" s="491">
        <v>0.0016370252245779815</v>
      </c>
      <c r="F118" s="449"/>
      <c r="K118" s="270"/>
      <c r="Q118" s="492"/>
    </row>
    <row r="119">
      <c r="B119" s="490" t="s">
        <v>285</v>
      </c>
      <c r="C119" s="491">
        <v>-0.08912324520955117</v>
      </c>
      <c r="F119" s="449"/>
      <c r="K119" s="270"/>
      <c r="Q119" s="492"/>
    </row>
    <row r="120">
      <c r="B120" s="490" t="s">
        <v>286</v>
      </c>
      <c r="C120" s="491">
        <v>4.40133033899681</v>
      </c>
      <c r="F120" s="449"/>
      <c r="K120" s="270"/>
      <c r="Q120" s="492"/>
    </row>
    <row r="121">
      <c r="B121" s="493" t="s">
        <v>287</v>
      </c>
      <c r="C121" s="494">
        <v>13.0</v>
      </c>
      <c r="F121" s="449"/>
      <c r="K121" s="270"/>
      <c r="Q121" s="492"/>
    </row>
    <row r="122">
      <c r="B122" s="290"/>
      <c r="F122" s="449"/>
      <c r="K122" s="270"/>
      <c r="Q122" s="94"/>
    </row>
    <row r="123">
      <c r="B123" s="495" t="s">
        <v>288</v>
      </c>
      <c r="F123" s="449"/>
      <c r="K123" s="270"/>
      <c r="Q123" s="492"/>
    </row>
    <row r="124">
      <c r="B124" s="496"/>
      <c r="C124" s="497" t="s">
        <v>289</v>
      </c>
      <c r="D124" s="497" t="s">
        <v>290</v>
      </c>
      <c r="E124" s="497" t="s">
        <v>291</v>
      </c>
      <c r="F124" s="497" t="s">
        <v>292</v>
      </c>
      <c r="G124" s="497" t="s">
        <v>293</v>
      </c>
      <c r="K124" s="270"/>
      <c r="Q124" s="498"/>
    </row>
    <row r="125">
      <c r="B125" s="490" t="s">
        <v>294</v>
      </c>
      <c r="C125" s="491">
        <v>1.0</v>
      </c>
      <c r="D125" s="491">
        <v>0.34940371728851005</v>
      </c>
      <c r="E125" s="491">
        <v>0.34940371728851005</v>
      </c>
      <c r="F125" s="499">
        <v>0.018036804173760496</v>
      </c>
      <c r="G125" s="491">
        <v>0.8955901859509451</v>
      </c>
      <c r="K125" s="270"/>
      <c r="Q125" s="492"/>
    </row>
    <row r="126">
      <c r="B126" s="490" t="s">
        <v>295</v>
      </c>
      <c r="C126" s="491">
        <v>11.0</v>
      </c>
      <c r="D126" s="491">
        <v>213.08879628271146</v>
      </c>
      <c r="E126" s="491">
        <v>19.37170875297377</v>
      </c>
      <c r="F126" s="449"/>
      <c r="K126" s="270"/>
      <c r="Q126" s="492"/>
    </row>
    <row r="127">
      <c r="B127" s="493" t="s">
        <v>296</v>
      </c>
      <c r="C127" s="494">
        <v>12.0</v>
      </c>
      <c r="D127" s="494">
        <v>213.43819999999997</v>
      </c>
      <c r="E127" s="298"/>
      <c r="F127" s="500"/>
      <c r="G127" s="298"/>
      <c r="K127" s="270"/>
      <c r="Q127" s="492"/>
    </row>
    <row r="128">
      <c r="B128" s="290"/>
      <c r="F128" s="449"/>
      <c r="K128" s="270"/>
      <c r="Q128" s="94"/>
    </row>
    <row r="129">
      <c r="B129" s="496"/>
      <c r="C129" s="497" t="s">
        <v>297</v>
      </c>
      <c r="D129" s="497" t="s">
        <v>286</v>
      </c>
      <c r="E129" s="497" t="s">
        <v>298</v>
      </c>
      <c r="F129" s="497" t="s">
        <v>299</v>
      </c>
      <c r="G129" s="497" t="s">
        <v>300</v>
      </c>
      <c r="H129" s="497" t="s">
        <v>301</v>
      </c>
      <c r="I129" s="497" t="s">
        <v>300</v>
      </c>
      <c r="J129" s="497" t="s">
        <v>301</v>
      </c>
      <c r="K129" s="270"/>
      <c r="Q129" s="498"/>
    </row>
    <row r="130">
      <c r="B130" s="490" t="s">
        <v>304</v>
      </c>
      <c r="C130" s="491">
        <v>5.734519935704691</v>
      </c>
      <c r="D130" s="491">
        <v>2.0103519208543825</v>
      </c>
      <c r="E130" s="491">
        <v>2.852495563695917</v>
      </c>
      <c r="F130" s="499">
        <v>0.015726362353001285</v>
      </c>
      <c r="G130" s="491">
        <v>1.3097652264055446</v>
      </c>
      <c r="H130" s="491">
        <v>10.159274645003837</v>
      </c>
      <c r="I130" s="491">
        <v>1.3097652264055446</v>
      </c>
      <c r="J130" s="491">
        <v>10.159274645003837</v>
      </c>
      <c r="K130" s="270"/>
      <c r="Q130" s="492"/>
    </row>
    <row r="131">
      <c r="B131" s="493" t="s">
        <v>305</v>
      </c>
      <c r="C131" s="494">
        <v>-0.014573365197329435</v>
      </c>
      <c r="D131" s="494">
        <v>0.10851257091452693</v>
      </c>
      <c r="E131" s="494">
        <v>-0.1343011696664027</v>
      </c>
      <c r="F131" s="501">
        <v>0.8955901861045081</v>
      </c>
      <c r="G131" s="494">
        <v>-0.25340792157099884</v>
      </c>
      <c r="H131" s="494">
        <v>0.22426119117633997</v>
      </c>
      <c r="I131" s="494">
        <v>-0.25340792157099884</v>
      </c>
      <c r="J131" s="494">
        <v>0.22426119117633997</v>
      </c>
      <c r="K131" s="270"/>
      <c r="Q131" s="492"/>
    </row>
    <row r="132">
      <c r="B132" s="290"/>
      <c r="F132" s="449"/>
      <c r="K132" s="270"/>
      <c r="Q132" s="94"/>
    </row>
    <row r="133">
      <c r="B133" s="490" t="s">
        <v>483</v>
      </c>
      <c r="F133" s="449"/>
      <c r="K133" s="270"/>
      <c r="Q133" s="492"/>
    </row>
    <row r="134">
      <c r="B134" s="290"/>
      <c r="F134" s="449"/>
      <c r="K134" s="270"/>
      <c r="Q134" s="94"/>
    </row>
    <row r="135">
      <c r="B135" s="487" t="s">
        <v>484</v>
      </c>
      <c r="C135" s="497" t="s">
        <v>485</v>
      </c>
      <c r="D135" s="497" t="s">
        <v>486</v>
      </c>
      <c r="F135" s="449"/>
      <c r="K135" s="270"/>
      <c r="Q135" s="489"/>
    </row>
    <row r="136">
      <c r="B136" s="502">
        <v>1.0</v>
      </c>
      <c r="C136" s="491">
        <v>5.540402711276263</v>
      </c>
      <c r="D136" s="491">
        <v>-3.580402711276263</v>
      </c>
      <c r="F136" s="449"/>
      <c r="K136" s="270"/>
      <c r="Q136" s="504"/>
    </row>
    <row r="137">
      <c r="B137" s="502">
        <v>2.0</v>
      </c>
      <c r="C137" s="491">
        <v>5.479486044751426</v>
      </c>
      <c r="D137" s="491">
        <v>-1.3694860447514259</v>
      </c>
      <c r="F137" s="449"/>
      <c r="K137" s="270"/>
      <c r="Q137" s="504"/>
    </row>
    <row r="138">
      <c r="B138" s="508">
        <v>3.0</v>
      </c>
      <c r="C138" s="508">
        <v>5.509069976102005</v>
      </c>
      <c r="D138" s="491">
        <v>-3.049069976102005</v>
      </c>
      <c r="F138" s="449"/>
      <c r="K138" s="270"/>
      <c r="Q138" s="504"/>
    </row>
    <row r="139">
      <c r="B139" s="502">
        <v>4.0</v>
      </c>
      <c r="C139" s="491">
        <v>5.658884170330551</v>
      </c>
      <c r="D139" s="491">
        <v>-3.888884170330551</v>
      </c>
      <c r="F139" s="503" t="s">
        <v>487</v>
      </c>
      <c r="G139" s="503" t="s">
        <v>488</v>
      </c>
      <c r="H139" s="503" t="s">
        <v>489</v>
      </c>
      <c r="I139" s="503" t="s">
        <v>495</v>
      </c>
      <c r="K139" s="270"/>
      <c r="Q139" s="504"/>
    </row>
    <row r="140">
      <c r="B140" s="502">
        <v>5.0</v>
      </c>
      <c r="C140" s="491">
        <v>5.766435605486842</v>
      </c>
      <c r="D140" s="491">
        <v>0.2935643945131572</v>
      </c>
      <c r="F140" s="505">
        <f>E19</f>
        <v>2.46</v>
      </c>
      <c r="G140" s="505">
        <f>C138</f>
        <v>5.509069976</v>
      </c>
      <c r="H140" s="506" t="s">
        <v>491</v>
      </c>
      <c r="I140" s="507">
        <f>(F140-G140)*100/G140</f>
        <v>-55.34636498</v>
      </c>
      <c r="K140" s="270"/>
      <c r="Q140" s="504"/>
    </row>
    <row r="141">
      <c r="B141" s="502">
        <v>6.0</v>
      </c>
      <c r="C141" s="491">
        <v>5.426730462737093</v>
      </c>
      <c r="D141" s="491">
        <v>8.943269537262907</v>
      </c>
      <c r="F141" s="449"/>
      <c r="K141" s="270"/>
      <c r="Q141" s="504"/>
    </row>
    <row r="142">
      <c r="B142" s="502">
        <v>7.0</v>
      </c>
      <c r="C142" s="491">
        <v>5.388839713224037</v>
      </c>
      <c r="D142" s="491">
        <v>-0.9388397132240369</v>
      </c>
      <c r="F142" s="449"/>
      <c r="K142" s="270"/>
      <c r="Q142" s="504"/>
    </row>
    <row r="143">
      <c r="B143" s="502">
        <v>8.0</v>
      </c>
      <c r="C143" s="491">
        <v>5.777948563992733</v>
      </c>
      <c r="D143" s="491">
        <v>1.8820514360072673</v>
      </c>
      <c r="F143" s="449"/>
      <c r="K143" s="270"/>
      <c r="Q143" s="504"/>
    </row>
    <row r="144">
      <c r="B144" s="502">
        <v>9.0</v>
      </c>
      <c r="C144" s="491">
        <v>5.5182511961763225</v>
      </c>
      <c r="D144" s="491">
        <v>3.001748803823677</v>
      </c>
      <c r="F144" s="449"/>
      <c r="K144" s="270"/>
      <c r="Q144" s="504"/>
    </row>
    <row r="145">
      <c r="B145" s="502">
        <v>10.0</v>
      </c>
      <c r="C145" s="491">
        <v>5.445384370189675</v>
      </c>
      <c r="D145" s="491">
        <v>7.244615629810324</v>
      </c>
      <c r="F145" s="449"/>
      <c r="K145" s="270"/>
      <c r="Q145" s="504"/>
    </row>
    <row r="146">
      <c r="B146" s="502">
        <v>11.0</v>
      </c>
      <c r="C146" s="491">
        <v>5.131765551143146</v>
      </c>
      <c r="D146" s="491">
        <v>-3.081765551143146</v>
      </c>
      <c r="F146" s="449"/>
      <c r="K146" s="270"/>
      <c r="Q146" s="504"/>
    </row>
    <row r="147">
      <c r="B147" s="502">
        <v>12.0</v>
      </c>
      <c r="C147" s="491">
        <v>5.470304824677108</v>
      </c>
      <c r="D147" s="491">
        <v>-4.070304824677109</v>
      </c>
      <c r="F147" s="449"/>
      <c r="K147" s="270"/>
      <c r="Q147" s="504"/>
    </row>
    <row r="148">
      <c r="B148" s="509">
        <v>13.0</v>
      </c>
      <c r="C148" s="494">
        <v>5.646496809912821</v>
      </c>
      <c r="D148" s="494">
        <v>-1.3864968099128214</v>
      </c>
      <c r="F148" s="449"/>
      <c r="K148" s="270"/>
      <c r="Q148" s="504"/>
    </row>
    <row r="149">
      <c r="B149" s="510"/>
      <c r="C149" s="298"/>
      <c r="D149" s="298"/>
      <c r="E149" s="298"/>
      <c r="F149" s="500"/>
      <c r="G149" s="298"/>
      <c r="H149" s="298"/>
      <c r="I149" s="298"/>
      <c r="J149" s="298"/>
      <c r="K149" s="299"/>
      <c r="Q149" s="94"/>
    </row>
    <row r="150">
      <c r="F150" s="449"/>
      <c r="Q150" s="94"/>
    </row>
    <row r="151">
      <c r="B151" s="485" t="s">
        <v>496</v>
      </c>
      <c r="C151" s="268"/>
      <c r="D151" s="268"/>
      <c r="E151" s="268"/>
      <c r="F151" s="486"/>
      <c r="G151" s="268"/>
      <c r="H151" s="268"/>
      <c r="I151" s="268"/>
      <c r="J151" s="268"/>
      <c r="K151" s="269"/>
      <c r="Q151" s="474"/>
    </row>
    <row r="152">
      <c r="B152" s="290"/>
      <c r="F152" s="449"/>
      <c r="K152" s="270"/>
      <c r="Q152" s="94"/>
    </row>
    <row r="153">
      <c r="B153" s="490" t="s">
        <v>281</v>
      </c>
      <c r="F153" s="449"/>
      <c r="K153" s="270"/>
      <c r="Q153" s="492"/>
    </row>
    <row r="154">
      <c r="B154" s="290"/>
      <c r="F154" s="449"/>
      <c r="K154" s="270"/>
      <c r="Q154" s="94"/>
    </row>
    <row r="155">
      <c r="B155" s="487" t="s">
        <v>282</v>
      </c>
      <c r="C155" s="488"/>
      <c r="F155" s="449"/>
      <c r="K155" s="270"/>
      <c r="Q155" s="489"/>
    </row>
    <row r="156">
      <c r="B156" s="490" t="s">
        <v>283</v>
      </c>
      <c r="C156" s="491">
        <v>0.07768263680083551</v>
      </c>
      <c r="F156" s="449"/>
      <c r="K156" s="270"/>
      <c r="Q156" s="492"/>
    </row>
    <row r="157">
      <c r="B157" s="490" t="s">
        <v>284</v>
      </c>
      <c r="C157" s="491">
        <v>0.006034592060330524</v>
      </c>
      <c r="F157" s="449"/>
      <c r="K157" s="270"/>
      <c r="Q157" s="492"/>
    </row>
    <row r="158">
      <c r="B158" s="490" t="s">
        <v>285</v>
      </c>
      <c r="C158" s="491">
        <v>-0.08432589957054848</v>
      </c>
      <c r="F158" s="449"/>
      <c r="K158" s="270"/>
      <c r="Q158" s="492"/>
    </row>
    <row r="159">
      <c r="B159" s="490" t="s">
        <v>286</v>
      </c>
      <c r="C159" s="491">
        <v>6.493300326592199</v>
      </c>
      <c r="F159" s="449"/>
      <c r="K159" s="270"/>
      <c r="Q159" s="492"/>
    </row>
    <row r="160">
      <c r="B160" s="493" t="s">
        <v>287</v>
      </c>
      <c r="C160" s="494">
        <v>13.0</v>
      </c>
      <c r="F160" s="449"/>
      <c r="K160" s="270"/>
      <c r="Q160" s="492"/>
    </row>
    <row r="161">
      <c r="B161" s="290"/>
      <c r="F161" s="449"/>
      <c r="K161" s="270"/>
      <c r="Q161" s="94"/>
    </row>
    <row r="162">
      <c r="B162" s="495" t="s">
        <v>288</v>
      </c>
      <c r="F162" s="449"/>
      <c r="K162" s="270"/>
      <c r="Q162" s="492"/>
    </row>
    <row r="163">
      <c r="B163" s="496"/>
      <c r="C163" s="497" t="s">
        <v>289</v>
      </c>
      <c r="D163" s="497" t="s">
        <v>290</v>
      </c>
      <c r="E163" s="497" t="s">
        <v>291</v>
      </c>
      <c r="F163" s="497" t="s">
        <v>292</v>
      </c>
      <c r="G163" s="497" t="s">
        <v>293</v>
      </c>
      <c r="K163" s="270"/>
      <c r="Q163" s="498"/>
    </row>
    <row r="164">
      <c r="B164" s="490" t="s">
        <v>294</v>
      </c>
      <c r="C164" s="491">
        <v>1.0</v>
      </c>
      <c r="D164" s="491">
        <v>2.815790324684883</v>
      </c>
      <c r="E164" s="491">
        <v>2.815790324684883</v>
      </c>
      <c r="F164" s="499">
        <v>0.06678352398725035</v>
      </c>
      <c r="G164" s="491">
        <v>0.8008503911260576</v>
      </c>
      <c r="K164" s="270"/>
      <c r="Q164" s="492"/>
    </row>
    <row r="165">
      <c r="B165" s="490" t="s">
        <v>295</v>
      </c>
      <c r="C165" s="491">
        <v>11.0</v>
      </c>
      <c r="D165" s="491">
        <v>463.792440444546</v>
      </c>
      <c r="E165" s="491">
        <v>42.162949131322364</v>
      </c>
      <c r="F165" s="449"/>
      <c r="K165" s="270"/>
      <c r="Q165" s="492"/>
    </row>
    <row r="166">
      <c r="B166" s="493" t="s">
        <v>296</v>
      </c>
      <c r="C166" s="494">
        <v>12.0</v>
      </c>
      <c r="D166" s="494">
        <v>466.6082307692309</v>
      </c>
      <c r="E166" s="298"/>
      <c r="F166" s="500"/>
      <c r="G166" s="298"/>
      <c r="K166" s="270"/>
      <c r="Q166" s="492"/>
    </row>
    <row r="167">
      <c r="B167" s="290"/>
      <c r="F167" s="449"/>
      <c r="K167" s="270"/>
      <c r="Q167" s="94"/>
    </row>
    <row r="168">
      <c r="B168" s="496"/>
      <c r="C168" s="497" t="s">
        <v>297</v>
      </c>
      <c r="D168" s="497" t="s">
        <v>286</v>
      </c>
      <c r="E168" s="497" t="s">
        <v>298</v>
      </c>
      <c r="F168" s="497" t="s">
        <v>299</v>
      </c>
      <c r="G168" s="497" t="s">
        <v>300</v>
      </c>
      <c r="H168" s="497" t="s">
        <v>301</v>
      </c>
      <c r="I168" s="497" t="s">
        <v>300</v>
      </c>
      <c r="J168" s="497" t="s">
        <v>301</v>
      </c>
      <c r="K168" s="270"/>
      <c r="Q168" s="498"/>
    </row>
    <row r="169">
      <c r="B169" s="490" t="s">
        <v>304</v>
      </c>
      <c r="C169" s="491">
        <v>0.5666737434053829</v>
      </c>
      <c r="D169" s="491">
        <v>2.9658802631988674</v>
      </c>
      <c r="E169" s="491">
        <v>0.19106426865466025</v>
      </c>
      <c r="F169" s="499">
        <v>0.8519560770894727</v>
      </c>
      <c r="G169" s="491">
        <v>-5.961184650775319</v>
      </c>
      <c r="H169" s="491">
        <v>7.094532137586086</v>
      </c>
      <c r="I169" s="491">
        <v>-5.961184650775319</v>
      </c>
      <c r="J169" s="491">
        <v>7.094532137586086</v>
      </c>
      <c r="K169" s="270"/>
      <c r="Q169" s="492"/>
    </row>
    <row r="170">
      <c r="B170" s="493" t="s">
        <v>305</v>
      </c>
      <c r="C170" s="494">
        <v>-0.041371021447899135</v>
      </c>
      <c r="D170" s="494">
        <v>0.1600890316992786</v>
      </c>
      <c r="E170" s="494">
        <v>-0.25842508389714725</v>
      </c>
      <c r="F170" s="501">
        <v>0.8008503911884385</v>
      </c>
      <c r="G170" s="494">
        <v>-0.39372460171929685</v>
      </c>
      <c r="H170" s="494">
        <v>0.3109825588234986</v>
      </c>
      <c r="I170" s="494">
        <v>-0.39372460171929685</v>
      </c>
      <c r="J170" s="494">
        <v>0.3109825588234986</v>
      </c>
      <c r="K170" s="270"/>
      <c r="Q170" s="492"/>
    </row>
    <row r="171">
      <c r="B171" s="290"/>
      <c r="F171" s="449"/>
      <c r="K171" s="270"/>
      <c r="Q171" s="94"/>
    </row>
    <row r="172">
      <c r="B172" s="290"/>
      <c r="F172" s="449"/>
      <c r="K172" s="270"/>
      <c r="Q172" s="94"/>
    </row>
    <row r="173">
      <c r="B173" s="290"/>
      <c r="F173" s="449"/>
      <c r="K173" s="270"/>
      <c r="Q173" s="94"/>
    </row>
    <row r="174">
      <c r="B174" s="490" t="s">
        <v>483</v>
      </c>
      <c r="F174" s="449"/>
      <c r="K174" s="270"/>
      <c r="Q174" s="492"/>
    </row>
    <row r="175">
      <c r="B175" s="290"/>
      <c r="F175" s="449"/>
      <c r="K175" s="270"/>
      <c r="Q175" s="94"/>
    </row>
    <row r="176">
      <c r="B176" s="487" t="s">
        <v>484</v>
      </c>
      <c r="C176" s="497" t="s">
        <v>485</v>
      </c>
      <c r="D176" s="497" t="s">
        <v>486</v>
      </c>
      <c r="F176" s="449"/>
      <c r="K176" s="270"/>
      <c r="Q176" s="489"/>
    </row>
    <row r="177">
      <c r="B177" s="502">
        <v>1.0</v>
      </c>
      <c r="C177" s="491">
        <v>0.015611737719366414</v>
      </c>
      <c r="D177" s="491">
        <v>0.7343882622806336</v>
      </c>
      <c r="F177" s="449"/>
      <c r="K177" s="270"/>
      <c r="Q177" s="504"/>
    </row>
    <row r="178">
      <c r="B178" s="502">
        <v>2.0</v>
      </c>
      <c r="C178" s="491">
        <v>-0.15731913193285196</v>
      </c>
      <c r="D178" s="491">
        <v>0.437319131932852</v>
      </c>
      <c r="F178" s="449"/>
      <c r="K178" s="270"/>
      <c r="Q178" s="504"/>
    </row>
    <row r="179">
      <c r="B179" s="508">
        <v>3.0</v>
      </c>
      <c r="C179" s="508">
        <v>-0.07333595839361673</v>
      </c>
      <c r="D179" s="491">
        <v>1.7233359583936165</v>
      </c>
      <c r="F179" s="503" t="s">
        <v>487</v>
      </c>
      <c r="G179" s="503" t="s">
        <v>488</v>
      </c>
      <c r="H179" s="503" t="s">
        <v>489</v>
      </c>
      <c r="I179" s="503" t="s">
        <v>495</v>
      </c>
      <c r="K179" s="270"/>
      <c r="Q179" s="504"/>
    </row>
    <row r="180">
      <c r="B180" s="502">
        <v>4.0</v>
      </c>
      <c r="C180" s="491">
        <v>0.35195814209078635</v>
      </c>
      <c r="D180" s="491">
        <v>0.4280418579092137</v>
      </c>
      <c r="F180" s="505">
        <f>C203</f>
        <v>1.65</v>
      </c>
      <c r="G180" s="505">
        <f>C179</f>
        <v>-0.07333595839</v>
      </c>
      <c r="H180" s="506" t="s">
        <v>493</v>
      </c>
      <c r="I180" s="506" t="s">
        <v>497</v>
      </c>
      <c r="K180" s="270"/>
      <c r="Q180" s="504"/>
    </row>
    <row r="181">
      <c r="B181" s="502">
        <v>5.0</v>
      </c>
      <c r="C181" s="491">
        <v>0.657276280376282</v>
      </c>
      <c r="D181" s="491">
        <v>1.192723719623718</v>
      </c>
      <c r="F181" s="449"/>
      <c r="I181" s="29" t="s">
        <v>498</v>
      </c>
      <c r="K181" s="270"/>
      <c r="Q181" s="504"/>
    </row>
    <row r="182">
      <c r="B182" s="502">
        <v>6.0</v>
      </c>
      <c r="C182" s="491">
        <v>-0.3070822295742469</v>
      </c>
      <c r="D182" s="491">
        <v>1.0670822295742468</v>
      </c>
      <c r="F182" s="449"/>
      <c r="K182" s="270"/>
      <c r="Q182" s="504"/>
    </row>
    <row r="183">
      <c r="B183" s="502">
        <v>7.0</v>
      </c>
      <c r="C183" s="491">
        <v>-0.4146468853387846</v>
      </c>
      <c r="D183" s="491">
        <v>2.2546468853387847</v>
      </c>
      <c r="F183" s="449"/>
      <c r="K183" s="270"/>
      <c r="Q183" s="504"/>
    </row>
    <row r="184">
      <c r="B184" s="502">
        <v>8.0</v>
      </c>
      <c r="C184" s="491">
        <v>0.6899593873201223</v>
      </c>
      <c r="D184" s="491">
        <v>3.460040612679878</v>
      </c>
      <c r="F184" s="449"/>
      <c r="K184" s="270"/>
      <c r="Q184" s="504"/>
    </row>
    <row r="185">
      <c r="B185" s="502">
        <v>9.0</v>
      </c>
      <c r="C185" s="491">
        <v>-0.04727221488144029</v>
      </c>
      <c r="D185" s="491">
        <v>-18.41272778511856</v>
      </c>
      <c r="F185" s="449"/>
      <c r="K185" s="270"/>
      <c r="Q185" s="504"/>
    </row>
    <row r="186">
      <c r="B186" s="502">
        <v>10.0</v>
      </c>
      <c r="C186" s="491">
        <v>-0.2541273221209359</v>
      </c>
      <c r="D186" s="491">
        <v>-4.315872677879065</v>
      </c>
      <c r="F186" s="449"/>
      <c r="K186" s="270"/>
      <c r="Q186" s="504"/>
    </row>
    <row r="187">
      <c r="B187" s="502">
        <v>11.0</v>
      </c>
      <c r="C187" s="491">
        <v>-1.1444317036797251</v>
      </c>
      <c r="D187" s="491">
        <v>2.084431703679725</v>
      </c>
      <c r="F187" s="449"/>
      <c r="K187" s="270"/>
      <c r="Q187" s="504"/>
    </row>
    <row r="188">
      <c r="B188" s="502">
        <v>12.0</v>
      </c>
      <c r="C188" s="491">
        <v>-0.1833828754450284</v>
      </c>
      <c r="D188" s="491">
        <v>8.833382875445029</v>
      </c>
      <c r="F188" s="449"/>
      <c r="K188" s="270"/>
      <c r="Q188" s="504"/>
    </row>
    <row r="189">
      <c r="B189" s="509">
        <v>13.0</v>
      </c>
      <c r="C189" s="494">
        <v>0.3167927738600721</v>
      </c>
      <c r="D189" s="494">
        <v>0.5132072261399279</v>
      </c>
      <c r="F189" s="449"/>
      <c r="K189" s="270"/>
      <c r="Q189" s="504"/>
    </row>
    <row r="190">
      <c r="B190" s="510"/>
      <c r="C190" s="298"/>
      <c r="D190" s="298"/>
      <c r="E190" s="298"/>
      <c r="F190" s="500"/>
      <c r="G190" s="298"/>
      <c r="H190" s="298"/>
      <c r="I190" s="298"/>
      <c r="J190" s="298"/>
      <c r="K190" s="299"/>
      <c r="Q190" s="94"/>
    </row>
    <row r="191">
      <c r="F191" s="449"/>
      <c r="Q191" s="94"/>
    </row>
    <row r="192">
      <c r="B192" s="511" t="s">
        <v>499</v>
      </c>
      <c r="C192" s="511" t="s">
        <v>487</v>
      </c>
      <c r="D192" s="511" t="s">
        <v>326</v>
      </c>
      <c r="E192" s="511" t="s">
        <v>500</v>
      </c>
      <c r="F192" s="512" t="s">
        <v>501</v>
      </c>
      <c r="G192" s="11"/>
      <c r="Q192" s="513"/>
    </row>
    <row r="193">
      <c r="B193" s="511" t="s">
        <v>502</v>
      </c>
      <c r="C193" s="514">
        <f>C19</f>
        <v>23.97</v>
      </c>
      <c r="D193" s="514">
        <f>C33</f>
        <v>23.845</v>
      </c>
      <c r="E193" s="511" t="s">
        <v>503</v>
      </c>
      <c r="F193" s="12"/>
      <c r="G193" s="13"/>
      <c r="Q193" s="513"/>
    </row>
    <row r="194">
      <c r="B194" s="511" t="s">
        <v>444</v>
      </c>
      <c r="C194" s="514">
        <f>D19</f>
        <v>4.05</v>
      </c>
      <c r="D194" s="514">
        <f>D33</f>
        <v>2.86</v>
      </c>
      <c r="E194" s="511" t="s">
        <v>504</v>
      </c>
      <c r="F194" s="12"/>
      <c r="G194" s="13"/>
      <c r="Q194" s="513"/>
    </row>
    <row r="195">
      <c r="B195" s="511" t="s">
        <v>445</v>
      </c>
      <c r="C195" s="514">
        <f>E19</f>
        <v>2.46</v>
      </c>
      <c r="D195" s="514">
        <f>E33</f>
        <v>4.355</v>
      </c>
      <c r="E195" s="511" t="s">
        <v>505</v>
      </c>
      <c r="F195" s="12"/>
      <c r="G195" s="13"/>
      <c r="Q195" s="513"/>
    </row>
    <row r="196">
      <c r="B196" s="511" t="s">
        <v>446</v>
      </c>
      <c r="C196" s="514">
        <f>F19</f>
        <v>1.65</v>
      </c>
      <c r="D196" s="514">
        <f>F33</f>
        <v>0.83</v>
      </c>
      <c r="E196" s="511" t="s">
        <v>504</v>
      </c>
      <c r="F196" s="12"/>
      <c r="G196" s="13"/>
      <c r="Q196" s="513"/>
    </row>
    <row r="197">
      <c r="B197" s="515"/>
      <c r="C197" s="515"/>
      <c r="D197" s="515"/>
      <c r="E197" s="515"/>
      <c r="F197" s="14"/>
      <c r="G197" s="16"/>
      <c r="Q197" s="97"/>
    </row>
    <row r="198">
      <c r="F198" s="449"/>
      <c r="Q198" s="94"/>
    </row>
    <row r="199">
      <c r="B199" s="511" t="s">
        <v>499</v>
      </c>
      <c r="C199" s="511" t="s">
        <v>487</v>
      </c>
      <c r="D199" s="511" t="s">
        <v>180</v>
      </c>
      <c r="E199" s="511" t="s">
        <v>500</v>
      </c>
      <c r="F199" s="512" t="s">
        <v>506</v>
      </c>
      <c r="G199" s="11"/>
      <c r="Q199" s="513"/>
    </row>
    <row r="200">
      <c r="B200" s="511" t="s">
        <v>502</v>
      </c>
      <c r="C200" s="514">
        <f>C19</f>
        <v>23.97</v>
      </c>
      <c r="D200" s="514">
        <f>C32</f>
        <v>33.42666667</v>
      </c>
      <c r="E200" s="511" t="s">
        <v>505</v>
      </c>
      <c r="F200" s="12"/>
      <c r="G200" s="13"/>
      <c r="Q200" s="513"/>
    </row>
    <row r="201">
      <c r="B201" s="511" t="s">
        <v>444</v>
      </c>
      <c r="C201" s="514">
        <f>D19</f>
        <v>4.05</v>
      </c>
      <c r="D201" s="514">
        <f>D32</f>
        <v>3.7025</v>
      </c>
      <c r="E201" s="511" t="s">
        <v>504</v>
      </c>
      <c r="F201" s="12"/>
      <c r="G201" s="13"/>
      <c r="Q201" s="513"/>
    </row>
    <row r="202">
      <c r="B202" s="511" t="s">
        <v>445</v>
      </c>
      <c r="C202" s="514">
        <f>E19</f>
        <v>2.46</v>
      </c>
      <c r="D202" s="514">
        <f>E32</f>
        <v>5.775</v>
      </c>
      <c r="E202" s="511" t="s">
        <v>505</v>
      </c>
      <c r="F202" s="12"/>
      <c r="G202" s="13"/>
      <c r="Q202" s="513"/>
    </row>
    <row r="203">
      <c r="B203" s="511" t="s">
        <v>446</v>
      </c>
      <c r="C203" s="514">
        <f>F19</f>
        <v>1.65</v>
      </c>
      <c r="D203" s="514">
        <f>F32</f>
        <v>-0.04230769231</v>
      </c>
      <c r="E203" s="511" t="s">
        <v>504</v>
      </c>
      <c r="F203" s="12"/>
      <c r="G203" s="13"/>
      <c r="Q203" s="513"/>
    </row>
    <row r="204">
      <c r="B204" s="515"/>
      <c r="C204" s="515"/>
      <c r="D204" s="515"/>
      <c r="E204" s="515"/>
      <c r="F204" s="14"/>
      <c r="G204" s="16"/>
      <c r="Q204" s="97"/>
    </row>
    <row r="205">
      <c r="F205" s="449"/>
      <c r="Q205" s="94"/>
    </row>
    <row r="206">
      <c r="F206" s="449"/>
      <c r="Q206" s="94"/>
    </row>
    <row r="207">
      <c r="F207" s="449"/>
      <c r="Q207" s="94"/>
    </row>
    <row r="208">
      <c r="F208" s="449"/>
      <c r="Q208" s="94"/>
    </row>
    <row r="209">
      <c r="F209" s="449"/>
      <c r="Q209" s="94"/>
    </row>
    <row r="210">
      <c r="F210" s="449"/>
      <c r="Q210" s="94"/>
    </row>
    <row r="211">
      <c r="F211" s="449"/>
      <c r="Q211" s="94"/>
    </row>
    <row r="212">
      <c r="F212" s="449"/>
      <c r="Q212" s="94"/>
    </row>
    <row r="213">
      <c r="F213" s="449"/>
      <c r="Q213" s="94"/>
    </row>
    <row r="214">
      <c r="F214" s="449"/>
      <c r="Q214" s="94"/>
    </row>
    <row r="215">
      <c r="F215" s="449"/>
      <c r="Q215" s="94"/>
    </row>
    <row r="216">
      <c r="F216" s="449"/>
      <c r="Q216" s="94"/>
    </row>
    <row r="217">
      <c r="F217" s="449"/>
      <c r="Q217" s="94"/>
    </row>
    <row r="218">
      <c r="F218" s="449"/>
    </row>
    <row r="219">
      <c r="F219" s="449"/>
    </row>
    <row r="220">
      <c r="F220" s="449"/>
    </row>
    <row r="221">
      <c r="F221" s="449"/>
    </row>
    <row r="222">
      <c r="F222" s="449"/>
    </row>
    <row r="223">
      <c r="F223" s="449"/>
    </row>
    <row r="224">
      <c r="F224" s="449"/>
    </row>
    <row r="225">
      <c r="F225" s="449"/>
    </row>
    <row r="226">
      <c r="F226" s="449"/>
    </row>
    <row r="227">
      <c r="F227" s="449"/>
    </row>
    <row r="228">
      <c r="F228" s="449"/>
    </row>
    <row r="229">
      <c r="F229" s="449"/>
    </row>
    <row r="230">
      <c r="F230" s="449"/>
    </row>
    <row r="231">
      <c r="F231" s="449"/>
    </row>
    <row r="232">
      <c r="F232" s="449"/>
    </row>
    <row r="233">
      <c r="F233" s="449"/>
    </row>
    <row r="234">
      <c r="F234" s="449"/>
    </row>
    <row r="235">
      <c r="F235" s="449"/>
    </row>
    <row r="236">
      <c r="F236" s="449"/>
    </row>
    <row r="237">
      <c r="F237" s="449"/>
    </row>
    <row r="238">
      <c r="F238" s="449"/>
    </row>
    <row r="239">
      <c r="F239" s="449"/>
    </row>
    <row r="240">
      <c r="F240" s="449"/>
    </row>
    <row r="241">
      <c r="F241" s="449"/>
    </row>
    <row r="242">
      <c r="F242" s="449"/>
    </row>
    <row r="243">
      <c r="F243" s="449"/>
    </row>
    <row r="244">
      <c r="F244" s="449"/>
    </row>
    <row r="245">
      <c r="F245" s="449"/>
    </row>
    <row r="246">
      <c r="F246" s="449"/>
    </row>
    <row r="247">
      <c r="F247" s="449"/>
    </row>
    <row r="248">
      <c r="F248" s="449"/>
    </row>
    <row r="249">
      <c r="F249" s="449"/>
    </row>
    <row r="250">
      <c r="F250" s="449"/>
    </row>
    <row r="251">
      <c r="F251" s="449"/>
    </row>
    <row r="252">
      <c r="F252" s="449"/>
    </row>
    <row r="253">
      <c r="F253" s="449"/>
    </row>
    <row r="254">
      <c r="F254" s="449"/>
    </row>
    <row r="255">
      <c r="F255" s="449"/>
    </row>
    <row r="256">
      <c r="F256" s="449"/>
    </row>
    <row r="257">
      <c r="F257" s="449"/>
    </row>
    <row r="258">
      <c r="F258" s="449"/>
    </row>
    <row r="259">
      <c r="F259" s="449"/>
    </row>
    <row r="260">
      <c r="F260" s="449"/>
    </row>
    <row r="261">
      <c r="F261" s="449"/>
    </row>
    <row r="262">
      <c r="F262" s="449"/>
    </row>
    <row r="263">
      <c r="F263" s="449"/>
    </row>
    <row r="264">
      <c r="F264" s="449"/>
    </row>
    <row r="265">
      <c r="F265" s="449"/>
    </row>
    <row r="266">
      <c r="F266" s="449"/>
    </row>
    <row r="267">
      <c r="F267" s="449"/>
    </row>
    <row r="268">
      <c r="F268" s="449"/>
    </row>
    <row r="269">
      <c r="F269" s="449"/>
    </row>
    <row r="270">
      <c r="F270" s="449"/>
    </row>
    <row r="271">
      <c r="F271" s="449"/>
    </row>
    <row r="272">
      <c r="F272" s="449"/>
    </row>
    <row r="273">
      <c r="F273" s="449"/>
    </row>
    <row r="274">
      <c r="F274" s="449"/>
    </row>
    <row r="275">
      <c r="F275" s="449"/>
    </row>
    <row r="276">
      <c r="F276" s="449"/>
    </row>
    <row r="277">
      <c r="F277" s="449"/>
    </row>
    <row r="278">
      <c r="F278" s="449"/>
    </row>
    <row r="279">
      <c r="F279" s="449"/>
    </row>
    <row r="280">
      <c r="F280" s="449"/>
    </row>
    <row r="281">
      <c r="F281" s="449"/>
    </row>
    <row r="282">
      <c r="F282" s="449"/>
    </row>
    <row r="283">
      <c r="F283" s="449"/>
    </row>
    <row r="284">
      <c r="F284" s="449"/>
    </row>
    <row r="285">
      <c r="F285" s="449"/>
    </row>
    <row r="286">
      <c r="F286" s="449"/>
    </row>
    <row r="287">
      <c r="F287" s="449"/>
    </row>
    <row r="288">
      <c r="F288" s="449"/>
    </row>
    <row r="289">
      <c r="F289" s="449"/>
    </row>
    <row r="290">
      <c r="F290" s="449"/>
    </row>
    <row r="291">
      <c r="F291" s="449"/>
    </row>
    <row r="292">
      <c r="F292" s="449"/>
    </row>
    <row r="293">
      <c r="F293" s="449"/>
    </row>
    <row r="294">
      <c r="F294" s="449"/>
    </row>
    <row r="295">
      <c r="F295" s="449"/>
    </row>
    <row r="296">
      <c r="F296" s="449"/>
    </row>
    <row r="297">
      <c r="F297" s="449"/>
    </row>
    <row r="298">
      <c r="F298" s="449"/>
    </row>
    <row r="299">
      <c r="F299" s="449"/>
    </row>
    <row r="300">
      <c r="F300" s="449"/>
    </row>
    <row r="301">
      <c r="F301" s="449"/>
    </row>
    <row r="302">
      <c r="F302" s="449"/>
    </row>
    <row r="303">
      <c r="F303" s="449"/>
    </row>
    <row r="304">
      <c r="F304" s="449"/>
    </row>
    <row r="305">
      <c r="F305" s="449"/>
    </row>
    <row r="306">
      <c r="F306" s="449"/>
    </row>
    <row r="307">
      <c r="F307" s="449"/>
    </row>
    <row r="308">
      <c r="F308" s="449"/>
    </row>
    <row r="309">
      <c r="F309" s="449"/>
    </row>
    <row r="310">
      <c r="F310" s="449"/>
    </row>
    <row r="311">
      <c r="F311" s="449"/>
    </row>
    <row r="312">
      <c r="F312" s="449"/>
    </row>
    <row r="313">
      <c r="F313" s="449"/>
    </row>
    <row r="314">
      <c r="F314" s="449"/>
    </row>
    <row r="315">
      <c r="F315" s="449"/>
    </row>
    <row r="316">
      <c r="F316" s="449"/>
    </row>
    <row r="317">
      <c r="F317" s="449"/>
    </row>
    <row r="318">
      <c r="F318" s="449"/>
    </row>
    <row r="319">
      <c r="F319" s="449"/>
    </row>
    <row r="320">
      <c r="F320" s="449"/>
    </row>
    <row r="321">
      <c r="F321" s="449"/>
    </row>
    <row r="322">
      <c r="F322" s="449"/>
    </row>
    <row r="323">
      <c r="F323" s="449"/>
    </row>
    <row r="324">
      <c r="F324" s="449"/>
    </row>
    <row r="325">
      <c r="F325" s="449"/>
    </row>
    <row r="326">
      <c r="F326" s="449"/>
    </row>
    <row r="327">
      <c r="F327" s="449"/>
    </row>
    <row r="328">
      <c r="F328" s="449"/>
    </row>
    <row r="329">
      <c r="F329" s="449"/>
    </row>
    <row r="330">
      <c r="F330" s="449"/>
    </row>
    <row r="331">
      <c r="F331" s="449"/>
    </row>
    <row r="332">
      <c r="F332" s="449"/>
    </row>
    <row r="333">
      <c r="F333" s="449"/>
    </row>
    <row r="334">
      <c r="F334" s="449"/>
    </row>
    <row r="335">
      <c r="F335" s="449"/>
    </row>
    <row r="336">
      <c r="F336" s="449"/>
    </row>
    <row r="337">
      <c r="F337" s="449"/>
    </row>
    <row r="338">
      <c r="F338" s="449"/>
    </row>
    <row r="339">
      <c r="F339" s="449"/>
    </row>
    <row r="340">
      <c r="F340" s="449"/>
    </row>
    <row r="341">
      <c r="F341" s="449"/>
    </row>
    <row r="342">
      <c r="F342" s="449"/>
    </row>
    <row r="343">
      <c r="F343" s="449"/>
    </row>
    <row r="344">
      <c r="F344" s="449"/>
    </row>
    <row r="345">
      <c r="F345" s="449"/>
    </row>
    <row r="346">
      <c r="F346" s="449"/>
    </row>
    <row r="347">
      <c r="F347" s="449"/>
    </row>
    <row r="348">
      <c r="F348" s="449"/>
    </row>
    <row r="349">
      <c r="F349" s="449"/>
    </row>
    <row r="350">
      <c r="F350" s="449"/>
    </row>
    <row r="351">
      <c r="F351" s="449"/>
    </row>
    <row r="352">
      <c r="F352" s="449"/>
    </row>
    <row r="353">
      <c r="F353" s="449"/>
    </row>
    <row r="354">
      <c r="F354" s="449"/>
    </row>
    <row r="355">
      <c r="F355" s="449"/>
    </row>
    <row r="356">
      <c r="F356" s="449"/>
    </row>
    <row r="357">
      <c r="F357" s="449"/>
    </row>
    <row r="358">
      <c r="F358" s="449"/>
    </row>
    <row r="359">
      <c r="F359" s="449"/>
    </row>
    <row r="360">
      <c r="F360" s="449"/>
    </row>
    <row r="361">
      <c r="F361" s="449"/>
    </row>
    <row r="362">
      <c r="F362" s="449"/>
    </row>
    <row r="363">
      <c r="F363" s="449"/>
    </row>
    <row r="364">
      <c r="F364" s="449"/>
    </row>
    <row r="365">
      <c r="F365" s="449"/>
    </row>
    <row r="366">
      <c r="F366" s="449"/>
    </row>
    <row r="367">
      <c r="F367" s="449"/>
    </row>
    <row r="368">
      <c r="F368" s="449"/>
    </row>
    <row r="369">
      <c r="F369" s="449"/>
    </row>
    <row r="370">
      <c r="F370" s="449"/>
    </row>
    <row r="371">
      <c r="F371" s="449"/>
    </row>
    <row r="372">
      <c r="F372" s="449"/>
    </row>
    <row r="373">
      <c r="F373" s="449"/>
    </row>
    <row r="374">
      <c r="F374" s="449"/>
    </row>
    <row r="375">
      <c r="F375" s="449"/>
    </row>
    <row r="376">
      <c r="F376" s="449"/>
    </row>
    <row r="377">
      <c r="F377" s="449"/>
    </row>
    <row r="378">
      <c r="F378" s="449"/>
    </row>
    <row r="379">
      <c r="F379" s="449"/>
    </row>
    <row r="380">
      <c r="F380" s="449"/>
    </row>
    <row r="381">
      <c r="F381" s="449"/>
    </row>
    <row r="382">
      <c r="F382" s="449"/>
    </row>
    <row r="383">
      <c r="F383" s="449"/>
    </row>
    <row r="384">
      <c r="F384" s="449"/>
    </row>
    <row r="385">
      <c r="F385" s="449"/>
    </row>
    <row r="386">
      <c r="F386" s="449"/>
    </row>
    <row r="387">
      <c r="F387" s="449"/>
    </row>
    <row r="388">
      <c r="F388" s="449"/>
    </row>
    <row r="389">
      <c r="F389" s="449"/>
    </row>
    <row r="390">
      <c r="F390" s="449"/>
    </row>
    <row r="391">
      <c r="F391" s="449"/>
    </row>
    <row r="392">
      <c r="F392" s="449"/>
    </row>
    <row r="393">
      <c r="F393" s="449"/>
    </row>
    <row r="394">
      <c r="F394" s="449"/>
    </row>
    <row r="395">
      <c r="F395" s="449"/>
    </row>
    <row r="396">
      <c r="F396" s="449"/>
    </row>
    <row r="397">
      <c r="F397" s="449"/>
    </row>
    <row r="398">
      <c r="F398" s="449"/>
    </row>
    <row r="399">
      <c r="F399" s="449"/>
    </row>
    <row r="400">
      <c r="F400" s="449"/>
    </row>
    <row r="401">
      <c r="F401" s="449"/>
    </row>
    <row r="402">
      <c r="F402" s="449"/>
    </row>
    <row r="403">
      <c r="F403" s="449"/>
    </row>
    <row r="404">
      <c r="F404" s="449"/>
    </row>
    <row r="405">
      <c r="F405" s="449"/>
    </row>
    <row r="406">
      <c r="F406" s="449"/>
    </row>
    <row r="407">
      <c r="F407" s="449"/>
    </row>
    <row r="408">
      <c r="F408" s="449"/>
    </row>
    <row r="409">
      <c r="F409" s="449"/>
    </row>
    <row r="410">
      <c r="F410" s="449"/>
    </row>
    <row r="411">
      <c r="F411" s="449"/>
    </row>
    <row r="412">
      <c r="F412" s="449"/>
    </row>
    <row r="413">
      <c r="F413" s="449"/>
    </row>
    <row r="414">
      <c r="F414" s="449"/>
    </row>
    <row r="415">
      <c r="F415" s="449"/>
    </row>
    <row r="416">
      <c r="F416" s="449"/>
    </row>
    <row r="417">
      <c r="F417" s="449"/>
    </row>
    <row r="418">
      <c r="F418" s="449"/>
    </row>
    <row r="419">
      <c r="F419" s="449"/>
    </row>
    <row r="420">
      <c r="F420" s="449"/>
    </row>
    <row r="421">
      <c r="F421" s="449"/>
    </row>
    <row r="422">
      <c r="F422" s="449"/>
    </row>
    <row r="423">
      <c r="F423" s="449"/>
    </row>
    <row r="424">
      <c r="F424" s="449"/>
    </row>
    <row r="425">
      <c r="F425" s="449"/>
    </row>
    <row r="426">
      <c r="F426" s="449"/>
    </row>
    <row r="427">
      <c r="F427" s="449"/>
    </row>
    <row r="428">
      <c r="F428" s="449"/>
    </row>
    <row r="429">
      <c r="F429" s="449"/>
    </row>
    <row r="430">
      <c r="F430" s="449"/>
    </row>
    <row r="431">
      <c r="F431" s="449"/>
    </row>
    <row r="432">
      <c r="F432" s="449"/>
    </row>
    <row r="433">
      <c r="F433" s="449"/>
    </row>
    <row r="434">
      <c r="F434" s="449"/>
    </row>
    <row r="435">
      <c r="F435" s="449"/>
    </row>
    <row r="436">
      <c r="F436" s="449"/>
    </row>
    <row r="437">
      <c r="F437" s="449"/>
    </row>
    <row r="438">
      <c r="F438" s="449"/>
    </row>
    <row r="439">
      <c r="F439" s="449"/>
    </row>
    <row r="440">
      <c r="F440" s="449"/>
    </row>
    <row r="441">
      <c r="F441" s="449"/>
    </row>
    <row r="442">
      <c r="F442" s="449"/>
    </row>
    <row r="443">
      <c r="F443" s="449"/>
    </row>
    <row r="444">
      <c r="F444" s="449"/>
    </row>
    <row r="445">
      <c r="F445" s="449"/>
    </row>
    <row r="446">
      <c r="F446" s="449"/>
    </row>
    <row r="447">
      <c r="F447" s="449"/>
    </row>
    <row r="448">
      <c r="F448" s="449"/>
    </row>
    <row r="449">
      <c r="F449" s="449"/>
    </row>
    <row r="450">
      <c r="F450" s="449"/>
    </row>
    <row r="451">
      <c r="F451" s="449"/>
    </row>
    <row r="452">
      <c r="F452" s="449"/>
    </row>
    <row r="453">
      <c r="F453" s="449"/>
    </row>
    <row r="454">
      <c r="F454" s="449"/>
    </row>
    <row r="455">
      <c r="F455" s="449"/>
    </row>
    <row r="456">
      <c r="F456" s="449"/>
    </row>
    <row r="457">
      <c r="F457" s="449"/>
    </row>
    <row r="458">
      <c r="F458" s="449"/>
    </row>
    <row r="459">
      <c r="F459" s="449"/>
    </row>
    <row r="460">
      <c r="F460" s="449"/>
    </row>
    <row r="461">
      <c r="F461" s="449"/>
    </row>
    <row r="462">
      <c r="F462" s="449"/>
    </row>
    <row r="463">
      <c r="F463" s="449"/>
    </row>
    <row r="464">
      <c r="F464" s="449"/>
    </row>
    <row r="465">
      <c r="F465" s="449"/>
    </row>
    <row r="466">
      <c r="F466" s="449"/>
    </row>
    <row r="467">
      <c r="F467" s="449"/>
    </row>
    <row r="468">
      <c r="F468" s="449"/>
    </row>
    <row r="469">
      <c r="F469" s="449"/>
    </row>
    <row r="470">
      <c r="F470" s="449"/>
    </row>
    <row r="471">
      <c r="F471" s="449"/>
    </row>
    <row r="472">
      <c r="F472" s="449"/>
    </row>
    <row r="473">
      <c r="F473" s="449"/>
    </row>
    <row r="474">
      <c r="F474" s="449"/>
    </row>
    <row r="475">
      <c r="F475" s="449"/>
    </row>
    <row r="476">
      <c r="F476" s="449"/>
    </row>
    <row r="477">
      <c r="F477" s="449"/>
    </row>
    <row r="478">
      <c r="F478" s="449"/>
    </row>
    <row r="479">
      <c r="F479" s="449"/>
    </row>
    <row r="480">
      <c r="F480" s="449"/>
    </row>
    <row r="481">
      <c r="F481" s="449"/>
    </row>
    <row r="482">
      <c r="F482" s="449"/>
    </row>
    <row r="483">
      <c r="F483" s="449"/>
    </row>
    <row r="484">
      <c r="F484" s="449"/>
    </row>
    <row r="485">
      <c r="F485" s="449"/>
    </row>
    <row r="486">
      <c r="F486" s="449"/>
    </row>
    <row r="487">
      <c r="F487" s="449"/>
    </row>
    <row r="488">
      <c r="F488" s="449"/>
    </row>
    <row r="489">
      <c r="F489" s="449"/>
    </row>
    <row r="490">
      <c r="F490" s="449"/>
    </row>
    <row r="491">
      <c r="F491" s="449"/>
    </row>
    <row r="492">
      <c r="F492" s="449"/>
    </row>
    <row r="493">
      <c r="F493" s="449"/>
    </row>
    <row r="494">
      <c r="F494" s="449"/>
    </row>
    <row r="495">
      <c r="F495" s="449"/>
    </row>
    <row r="496">
      <c r="F496" s="449"/>
    </row>
    <row r="497">
      <c r="F497" s="449"/>
    </row>
    <row r="498">
      <c r="F498" s="449"/>
    </row>
    <row r="499">
      <c r="F499" s="449"/>
    </row>
    <row r="500">
      <c r="F500" s="449"/>
    </row>
    <row r="501">
      <c r="F501" s="449"/>
    </row>
    <row r="502">
      <c r="F502" s="449"/>
    </row>
    <row r="503">
      <c r="F503" s="449"/>
    </row>
    <row r="504">
      <c r="F504" s="449"/>
    </row>
    <row r="505">
      <c r="F505" s="449"/>
    </row>
    <row r="506">
      <c r="F506" s="449"/>
    </row>
    <row r="507">
      <c r="F507" s="449"/>
    </row>
    <row r="508">
      <c r="F508" s="449"/>
    </row>
    <row r="509">
      <c r="F509" s="449"/>
    </row>
    <row r="510">
      <c r="F510" s="449"/>
    </row>
    <row r="511">
      <c r="F511" s="449"/>
    </row>
    <row r="512">
      <c r="F512" s="449"/>
    </row>
    <row r="513">
      <c r="F513" s="449"/>
    </row>
    <row r="514">
      <c r="F514" s="449"/>
    </row>
    <row r="515">
      <c r="F515" s="449"/>
    </row>
    <row r="516">
      <c r="F516" s="449"/>
    </row>
    <row r="517">
      <c r="F517" s="449"/>
    </row>
    <row r="518">
      <c r="F518" s="449"/>
    </row>
    <row r="519">
      <c r="F519" s="449"/>
    </row>
    <row r="520">
      <c r="F520" s="449"/>
    </row>
    <row r="521">
      <c r="F521" s="449"/>
    </row>
    <row r="522">
      <c r="F522" s="449"/>
    </row>
    <row r="523">
      <c r="F523" s="449"/>
    </row>
    <row r="524">
      <c r="F524" s="449"/>
    </row>
    <row r="525">
      <c r="F525" s="449"/>
    </row>
    <row r="526">
      <c r="F526" s="449"/>
    </row>
    <row r="527">
      <c r="F527" s="449"/>
    </row>
    <row r="528">
      <c r="F528" s="449"/>
    </row>
    <row r="529">
      <c r="F529" s="449"/>
    </row>
    <row r="530">
      <c r="F530" s="449"/>
    </row>
    <row r="531">
      <c r="F531" s="449"/>
    </row>
    <row r="532">
      <c r="F532" s="449"/>
    </row>
    <row r="533">
      <c r="F533" s="449"/>
    </row>
    <row r="534">
      <c r="F534" s="449"/>
    </row>
    <row r="535">
      <c r="F535" s="449"/>
    </row>
    <row r="536">
      <c r="F536" s="449"/>
    </row>
    <row r="537">
      <c r="F537" s="449"/>
    </row>
    <row r="538">
      <c r="F538" s="449"/>
    </row>
    <row r="539">
      <c r="F539" s="449"/>
    </row>
    <row r="540">
      <c r="F540" s="449"/>
    </row>
    <row r="541">
      <c r="F541" s="449"/>
    </row>
    <row r="542">
      <c r="F542" s="449"/>
    </row>
    <row r="543">
      <c r="F543" s="449"/>
    </row>
    <row r="544">
      <c r="F544" s="449"/>
    </row>
    <row r="545">
      <c r="F545" s="449"/>
    </row>
    <row r="546">
      <c r="F546" s="449"/>
    </row>
    <row r="547">
      <c r="F547" s="449"/>
    </row>
    <row r="548">
      <c r="F548" s="449"/>
    </row>
    <row r="549">
      <c r="F549" s="449"/>
    </row>
    <row r="550">
      <c r="F550" s="449"/>
    </row>
    <row r="551">
      <c r="F551" s="449"/>
    </row>
    <row r="552">
      <c r="F552" s="449"/>
    </row>
    <row r="553">
      <c r="F553" s="449"/>
    </row>
    <row r="554">
      <c r="F554" s="449"/>
    </row>
    <row r="555">
      <c r="F555" s="449"/>
    </row>
    <row r="556">
      <c r="F556" s="449"/>
    </row>
    <row r="557">
      <c r="F557" s="449"/>
    </row>
    <row r="558">
      <c r="F558" s="449"/>
    </row>
    <row r="559">
      <c r="F559" s="449"/>
    </row>
    <row r="560">
      <c r="F560" s="449"/>
    </row>
    <row r="561">
      <c r="F561" s="449"/>
    </row>
    <row r="562">
      <c r="F562" s="449"/>
    </row>
    <row r="563">
      <c r="F563" s="449"/>
    </row>
    <row r="564">
      <c r="F564" s="449"/>
    </row>
    <row r="565">
      <c r="F565" s="449"/>
    </row>
    <row r="566">
      <c r="F566" s="449"/>
    </row>
    <row r="567">
      <c r="F567" s="449"/>
    </row>
    <row r="568">
      <c r="F568" s="449"/>
    </row>
    <row r="569">
      <c r="F569" s="449"/>
    </row>
    <row r="570">
      <c r="F570" s="449"/>
    </row>
    <row r="571">
      <c r="F571" s="449"/>
    </row>
    <row r="572">
      <c r="F572" s="449"/>
    </row>
    <row r="573">
      <c r="F573" s="449"/>
    </row>
    <row r="574">
      <c r="F574" s="449"/>
    </row>
    <row r="575">
      <c r="F575" s="449"/>
    </row>
    <row r="576">
      <c r="F576" s="449"/>
    </row>
    <row r="577">
      <c r="F577" s="449"/>
    </row>
    <row r="578">
      <c r="F578" s="449"/>
    </row>
    <row r="579">
      <c r="F579" s="449"/>
    </row>
    <row r="580">
      <c r="F580" s="449"/>
    </row>
    <row r="581">
      <c r="F581" s="449"/>
    </row>
    <row r="582">
      <c r="F582" s="449"/>
    </row>
    <row r="583">
      <c r="F583" s="449"/>
    </row>
    <row r="584">
      <c r="F584" s="449"/>
    </row>
    <row r="585">
      <c r="F585" s="449"/>
    </row>
    <row r="586">
      <c r="F586" s="449"/>
    </row>
    <row r="587">
      <c r="F587" s="449"/>
    </row>
    <row r="588">
      <c r="F588" s="449"/>
    </row>
    <row r="589">
      <c r="F589" s="449"/>
    </row>
    <row r="590">
      <c r="F590" s="449"/>
    </row>
    <row r="591">
      <c r="F591" s="449"/>
    </row>
    <row r="592">
      <c r="F592" s="449"/>
    </row>
    <row r="593">
      <c r="F593" s="449"/>
    </row>
    <row r="594">
      <c r="F594" s="449"/>
    </row>
    <row r="595">
      <c r="F595" s="449"/>
    </row>
    <row r="596">
      <c r="F596" s="449"/>
    </row>
    <row r="597">
      <c r="F597" s="449"/>
    </row>
    <row r="598">
      <c r="F598" s="449"/>
    </row>
    <row r="599">
      <c r="F599" s="449"/>
    </row>
    <row r="600">
      <c r="F600" s="449"/>
    </row>
    <row r="601">
      <c r="F601" s="449"/>
    </row>
    <row r="602">
      <c r="F602" s="449"/>
    </row>
    <row r="603">
      <c r="F603" s="449"/>
    </row>
    <row r="604">
      <c r="F604" s="449"/>
    </row>
    <row r="605">
      <c r="F605" s="449"/>
    </row>
    <row r="606">
      <c r="F606" s="449"/>
    </row>
    <row r="607">
      <c r="F607" s="449"/>
    </row>
    <row r="608">
      <c r="F608" s="449"/>
    </row>
    <row r="609">
      <c r="F609" s="449"/>
    </row>
    <row r="610">
      <c r="F610" s="449"/>
    </row>
    <row r="611">
      <c r="F611" s="449"/>
    </row>
    <row r="612">
      <c r="F612" s="449"/>
    </row>
    <row r="613">
      <c r="F613" s="449"/>
    </row>
    <row r="614">
      <c r="F614" s="449"/>
    </row>
    <row r="615">
      <c r="F615" s="449"/>
    </row>
    <row r="616">
      <c r="F616" s="449"/>
    </row>
    <row r="617">
      <c r="F617" s="449"/>
    </row>
    <row r="618">
      <c r="F618" s="449"/>
    </row>
    <row r="619">
      <c r="F619" s="449"/>
    </row>
    <row r="620">
      <c r="F620" s="449"/>
    </row>
    <row r="621">
      <c r="F621" s="449"/>
    </row>
    <row r="622">
      <c r="F622" s="449"/>
    </row>
    <row r="623">
      <c r="F623" s="449"/>
    </row>
    <row r="624">
      <c r="F624" s="449"/>
    </row>
    <row r="625">
      <c r="F625" s="449"/>
    </row>
    <row r="626">
      <c r="F626" s="449"/>
    </row>
    <row r="627">
      <c r="F627" s="449"/>
    </row>
    <row r="628">
      <c r="F628" s="449"/>
    </row>
    <row r="629">
      <c r="F629" s="449"/>
    </row>
    <row r="630">
      <c r="F630" s="449"/>
    </row>
    <row r="631">
      <c r="F631" s="449"/>
    </row>
    <row r="632">
      <c r="F632" s="449"/>
    </row>
    <row r="633">
      <c r="F633" s="449"/>
    </row>
    <row r="634">
      <c r="F634" s="449"/>
    </row>
    <row r="635">
      <c r="F635" s="449"/>
    </row>
    <row r="636">
      <c r="F636" s="449"/>
    </row>
    <row r="637">
      <c r="F637" s="449"/>
    </row>
    <row r="638">
      <c r="F638" s="449"/>
    </row>
    <row r="639">
      <c r="F639" s="449"/>
    </row>
    <row r="640">
      <c r="F640" s="449"/>
    </row>
    <row r="641">
      <c r="F641" s="449"/>
    </row>
    <row r="642">
      <c r="F642" s="449"/>
    </row>
    <row r="643">
      <c r="F643" s="449"/>
    </row>
    <row r="644">
      <c r="F644" s="449"/>
    </row>
    <row r="645">
      <c r="F645" s="449"/>
    </row>
    <row r="646">
      <c r="F646" s="449"/>
    </row>
    <row r="647">
      <c r="F647" s="449"/>
    </row>
    <row r="648">
      <c r="F648" s="449"/>
    </row>
    <row r="649">
      <c r="F649" s="449"/>
    </row>
    <row r="650">
      <c r="F650" s="449"/>
    </row>
    <row r="651">
      <c r="F651" s="449"/>
    </row>
    <row r="652">
      <c r="F652" s="449"/>
    </row>
    <row r="653">
      <c r="F653" s="449"/>
    </row>
    <row r="654">
      <c r="F654" s="449"/>
    </row>
    <row r="655">
      <c r="F655" s="449"/>
    </row>
    <row r="656">
      <c r="F656" s="449"/>
    </row>
    <row r="657">
      <c r="F657" s="449"/>
    </row>
    <row r="658">
      <c r="F658" s="449"/>
    </row>
    <row r="659">
      <c r="F659" s="449"/>
    </row>
    <row r="660">
      <c r="F660" s="449"/>
    </row>
    <row r="661">
      <c r="F661" s="449"/>
    </row>
    <row r="662">
      <c r="F662" s="449"/>
    </row>
    <row r="663">
      <c r="F663" s="449"/>
    </row>
    <row r="664">
      <c r="F664" s="449"/>
    </row>
    <row r="665">
      <c r="F665" s="449"/>
    </row>
    <row r="666">
      <c r="F666" s="449"/>
    </row>
    <row r="667">
      <c r="F667" s="449"/>
    </row>
    <row r="668">
      <c r="F668" s="449"/>
    </row>
    <row r="669">
      <c r="F669" s="449"/>
    </row>
    <row r="670">
      <c r="F670" s="449"/>
    </row>
    <row r="671">
      <c r="F671" s="449"/>
    </row>
    <row r="672">
      <c r="F672" s="449"/>
    </row>
    <row r="673">
      <c r="F673" s="449"/>
    </row>
    <row r="674">
      <c r="F674" s="449"/>
    </row>
    <row r="675">
      <c r="F675" s="449"/>
    </row>
    <row r="676">
      <c r="F676" s="449"/>
    </row>
    <row r="677">
      <c r="F677" s="449"/>
    </row>
    <row r="678">
      <c r="F678" s="449"/>
    </row>
    <row r="679">
      <c r="F679" s="449"/>
    </row>
    <row r="680">
      <c r="F680" s="449"/>
    </row>
    <row r="681">
      <c r="F681" s="449"/>
    </row>
    <row r="682">
      <c r="F682" s="449"/>
    </row>
    <row r="683">
      <c r="F683" s="449"/>
    </row>
    <row r="684">
      <c r="F684" s="449"/>
    </row>
    <row r="685">
      <c r="F685" s="449"/>
    </row>
    <row r="686">
      <c r="F686" s="449"/>
    </row>
    <row r="687">
      <c r="F687" s="449"/>
    </row>
    <row r="688">
      <c r="F688" s="449"/>
    </row>
    <row r="689">
      <c r="F689" s="449"/>
    </row>
    <row r="690">
      <c r="F690" s="449"/>
    </row>
    <row r="691">
      <c r="F691" s="449"/>
    </row>
    <row r="692">
      <c r="F692" s="449"/>
    </row>
    <row r="693">
      <c r="F693" s="449"/>
    </row>
    <row r="694">
      <c r="F694" s="449"/>
    </row>
    <row r="695">
      <c r="F695" s="449"/>
    </row>
    <row r="696">
      <c r="F696" s="449"/>
    </row>
    <row r="697">
      <c r="F697" s="449"/>
    </row>
    <row r="698">
      <c r="F698" s="449"/>
    </row>
    <row r="699">
      <c r="F699" s="449"/>
    </row>
    <row r="700">
      <c r="F700" s="449"/>
    </row>
    <row r="701">
      <c r="F701" s="449"/>
    </row>
    <row r="702">
      <c r="F702" s="449"/>
    </row>
    <row r="703">
      <c r="F703" s="449"/>
    </row>
    <row r="704">
      <c r="F704" s="449"/>
    </row>
    <row r="705">
      <c r="F705" s="449"/>
    </row>
    <row r="706">
      <c r="F706" s="449"/>
    </row>
    <row r="707">
      <c r="F707" s="449"/>
    </row>
    <row r="708">
      <c r="F708" s="449"/>
    </row>
    <row r="709">
      <c r="F709" s="449"/>
    </row>
    <row r="710">
      <c r="F710" s="449"/>
    </row>
    <row r="711">
      <c r="F711" s="449"/>
    </row>
    <row r="712">
      <c r="F712" s="449"/>
    </row>
    <row r="713">
      <c r="F713" s="449"/>
    </row>
    <row r="714">
      <c r="F714" s="449"/>
    </row>
    <row r="715">
      <c r="F715" s="449"/>
    </row>
    <row r="716">
      <c r="F716" s="449"/>
    </row>
    <row r="717">
      <c r="F717" s="449"/>
    </row>
    <row r="718">
      <c r="F718" s="449"/>
    </row>
    <row r="719">
      <c r="F719" s="449"/>
    </row>
    <row r="720">
      <c r="F720" s="449"/>
    </row>
    <row r="721">
      <c r="F721" s="449"/>
    </row>
    <row r="722">
      <c r="F722" s="449"/>
    </row>
    <row r="723">
      <c r="F723" s="449"/>
    </row>
    <row r="724">
      <c r="F724" s="449"/>
    </row>
    <row r="725">
      <c r="F725" s="449"/>
    </row>
    <row r="726">
      <c r="F726" s="449"/>
    </row>
    <row r="727">
      <c r="F727" s="449"/>
    </row>
    <row r="728">
      <c r="F728" s="449"/>
    </row>
    <row r="729">
      <c r="F729" s="449"/>
    </row>
    <row r="730">
      <c r="F730" s="449"/>
    </row>
    <row r="731">
      <c r="F731" s="449"/>
    </row>
    <row r="732">
      <c r="F732" s="449"/>
    </row>
    <row r="733">
      <c r="F733" s="449"/>
    </row>
    <row r="734">
      <c r="F734" s="449"/>
    </row>
    <row r="735">
      <c r="F735" s="449"/>
    </row>
    <row r="736">
      <c r="F736" s="449"/>
    </row>
    <row r="737">
      <c r="F737" s="449"/>
    </row>
    <row r="738">
      <c r="F738" s="449"/>
    </row>
    <row r="739">
      <c r="F739" s="449"/>
    </row>
    <row r="740">
      <c r="F740" s="449"/>
    </row>
    <row r="741">
      <c r="F741" s="449"/>
    </row>
    <row r="742">
      <c r="F742" s="449"/>
    </row>
    <row r="743">
      <c r="F743" s="449"/>
    </row>
    <row r="744">
      <c r="F744" s="449"/>
    </row>
    <row r="745">
      <c r="F745" s="449"/>
    </row>
    <row r="746">
      <c r="F746" s="449"/>
    </row>
    <row r="747">
      <c r="F747" s="449"/>
    </row>
    <row r="748">
      <c r="F748" s="449"/>
    </row>
    <row r="749">
      <c r="F749" s="449"/>
    </row>
    <row r="750">
      <c r="F750" s="449"/>
    </row>
    <row r="751">
      <c r="F751" s="449"/>
    </row>
    <row r="752">
      <c r="F752" s="449"/>
    </row>
    <row r="753">
      <c r="F753" s="449"/>
    </row>
    <row r="754">
      <c r="F754" s="449"/>
    </row>
    <row r="755">
      <c r="F755" s="449"/>
    </row>
    <row r="756">
      <c r="F756" s="449"/>
    </row>
    <row r="757">
      <c r="F757" s="449"/>
    </row>
    <row r="758">
      <c r="F758" s="449"/>
    </row>
    <row r="759">
      <c r="F759" s="449"/>
    </row>
    <row r="760">
      <c r="F760" s="449"/>
    </row>
    <row r="761">
      <c r="F761" s="449"/>
    </row>
    <row r="762">
      <c r="F762" s="449"/>
    </row>
    <row r="763">
      <c r="F763" s="449"/>
    </row>
    <row r="764">
      <c r="F764" s="449"/>
    </row>
    <row r="765">
      <c r="F765" s="449"/>
    </row>
    <row r="766">
      <c r="F766" s="449"/>
    </row>
    <row r="767">
      <c r="F767" s="449"/>
    </row>
    <row r="768">
      <c r="F768" s="449"/>
    </row>
    <row r="769">
      <c r="F769" s="449"/>
    </row>
    <row r="770">
      <c r="F770" s="449"/>
    </row>
    <row r="771">
      <c r="F771" s="449"/>
    </row>
    <row r="772">
      <c r="F772" s="449"/>
    </row>
    <row r="773">
      <c r="F773" s="449"/>
    </row>
    <row r="774">
      <c r="F774" s="449"/>
    </row>
    <row r="775">
      <c r="F775" s="449"/>
    </row>
    <row r="776">
      <c r="F776" s="449"/>
    </row>
    <row r="777">
      <c r="F777" s="449"/>
    </row>
    <row r="778">
      <c r="F778" s="449"/>
    </row>
    <row r="779">
      <c r="F779" s="449"/>
    </row>
    <row r="780">
      <c r="F780" s="449"/>
    </row>
    <row r="781">
      <c r="F781" s="449"/>
    </row>
    <row r="782">
      <c r="F782" s="449"/>
    </row>
    <row r="783">
      <c r="F783" s="449"/>
    </row>
    <row r="784">
      <c r="F784" s="449"/>
    </row>
    <row r="785">
      <c r="F785" s="449"/>
    </row>
    <row r="786">
      <c r="F786" s="449"/>
    </row>
    <row r="787">
      <c r="F787" s="449"/>
    </row>
    <row r="788">
      <c r="F788" s="449"/>
    </row>
    <row r="789">
      <c r="F789" s="449"/>
    </row>
    <row r="790">
      <c r="F790" s="449"/>
    </row>
    <row r="791">
      <c r="F791" s="449"/>
    </row>
    <row r="792">
      <c r="F792" s="449"/>
    </row>
    <row r="793">
      <c r="F793" s="449"/>
    </row>
    <row r="794">
      <c r="F794" s="449"/>
    </row>
    <row r="795">
      <c r="F795" s="449"/>
    </row>
    <row r="796">
      <c r="F796" s="449"/>
    </row>
    <row r="797">
      <c r="F797" s="449"/>
    </row>
    <row r="798">
      <c r="F798" s="449"/>
    </row>
    <row r="799">
      <c r="F799" s="449"/>
    </row>
    <row r="800">
      <c r="F800" s="449"/>
    </row>
    <row r="801">
      <c r="F801" s="449"/>
    </row>
    <row r="802">
      <c r="F802" s="449"/>
    </row>
    <row r="803">
      <c r="F803" s="449"/>
    </row>
    <row r="804">
      <c r="F804" s="449"/>
    </row>
    <row r="805">
      <c r="F805" s="449"/>
    </row>
    <row r="806">
      <c r="F806" s="449"/>
    </row>
    <row r="807">
      <c r="F807" s="449"/>
    </row>
    <row r="808">
      <c r="F808" s="449"/>
    </row>
    <row r="809">
      <c r="F809" s="449"/>
    </row>
    <row r="810">
      <c r="F810" s="449"/>
    </row>
    <row r="811">
      <c r="F811" s="449"/>
    </row>
    <row r="812">
      <c r="F812" s="449"/>
    </row>
    <row r="813">
      <c r="F813" s="449"/>
    </row>
    <row r="814">
      <c r="F814" s="449"/>
    </row>
    <row r="815">
      <c r="F815" s="449"/>
    </row>
    <row r="816">
      <c r="F816" s="449"/>
    </row>
    <row r="817">
      <c r="F817" s="449"/>
    </row>
    <row r="818">
      <c r="F818" s="449"/>
    </row>
    <row r="819">
      <c r="F819" s="449"/>
    </row>
    <row r="820">
      <c r="F820" s="449"/>
    </row>
    <row r="821">
      <c r="F821" s="449"/>
    </row>
    <row r="822">
      <c r="F822" s="449"/>
    </row>
    <row r="823">
      <c r="F823" s="449"/>
    </row>
    <row r="824">
      <c r="F824" s="449"/>
    </row>
    <row r="825">
      <c r="F825" s="449"/>
    </row>
    <row r="826">
      <c r="F826" s="449"/>
    </row>
    <row r="827">
      <c r="F827" s="449"/>
    </row>
    <row r="828">
      <c r="F828" s="449"/>
    </row>
    <row r="829">
      <c r="F829" s="449"/>
    </row>
    <row r="830">
      <c r="F830" s="449"/>
    </row>
    <row r="831">
      <c r="F831" s="449"/>
    </row>
    <row r="832">
      <c r="F832" s="449"/>
    </row>
    <row r="833">
      <c r="F833" s="449"/>
    </row>
    <row r="834">
      <c r="F834" s="449"/>
    </row>
    <row r="835">
      <c r="F835" s="449"/>
    </row>
    <row r="836">
      <c r="F836" s="449"/>
    </row>
    <row r="837">
      <c r="F837" s="449"/>
    </row>
    <row r="838">
      <c r="F838" s="449"/>
    </row>
    <row r="839">
      <c r="F839" s="449"/>
    </row>
    <row r="840">
      <c r="F840" s="449"/>
    </row>
    <row r="841">
      <c r="F841" s="449"/>
    </row>
    <row r="842">
      <c r="F842" s="449"/>
    </row>
    <row r="843">
      <c r="F843" s="449"/>
    </row>
    <row r="844">
      <c r="F844" s="449"/>
    </row>
    <row r="845">
      <c r="F845" s="449"/>
    </row>
    <row r="846">
      <c r="F846" s="449"/>
    </row>
    <row r="847">
      <c r="F847" s="449"/>
    </row>
    <row r="848">
      <c r="F848" s="449"/>
    </row>
    <row r="849">
      <c r="F849" s="449"/>
    </row>
    <row r="850">
      <c r="F850" s="449"/>
    </row>
    <row r="851">
      <c r="F851" s="449"/>
    </row>
    <row r="852">
      <c r="F852" s="449"/>
    </row>
    <row r="853">
      <c r="F853" s="449"/>
    </row>
    <row r="854">
      <c r="F854" s="449"/>
    </row>
    <row r="855">
      <c r="F855" s="449"/>
    </row>
    <row r="856">
      <c r="F856" s="449"/>
    </row>
    <row r="857">
      <c r="F857" s="449"/>
    </row>
    <row r="858">
      <c r="F858" s="449"/>
    </row>
    <row r="859">
      <c r="F859" s="449"/>
    </row>
    <row r="860">
      <c r="F860" s="449"/>
    </row>
    <row r="861">
      <c r="F861" s="449"/>
    </row>
    <row r="862">
      <c r="F862" s="449"/>
    </row>
    <row r="863">
      <c r="F863" s="449"/>
    </row>
    <row r="864">
      <c r="F864" s="449"/>
    </row>
    <row r="865">
      <c r="F865" s="449"/>
    </row>
    <row r="866">
      <c r="F866" s="449"/>
    </row>
    <row r="867">
      <c r="F867" s="449"/>
    </row>
    <row r="868">
      <c r="F868" s="449"/>
    </row>
    <row r="869">
      <c r="F869" s="449"/>
    </row>
    <row r="870">
      <c r="F870" s="449"/>
    </row>
    <row r="871">
      <c r="F871" s="449"/>
    </row>
    <row r="872">
      <c r="F872" s="449"/>
    </row>
    <row r="873">
      <c r="F873" s="449"/>
    </row>
    <row r="874">
      <c r="F874" s="449"/>
    </row>
    <row r="875">
      <c r="F875" s="449"/>
    </row>
    <row r="876">
      <c r="F876" s="449"/>
    </row>
    <row r="877">
      <c r="F877" s="449"/>
    </row>
    <row r="878">
      <c r="F878" s="449"/>
    </row>
    <row r="879">
      <c r="F879" s="449"/>
    </row>
    <row r="880">
      <c r="F880" s="449"/>
    </row>
    <row r="881">
      <c r="F881" s="449"/>
    </row>
    <row r="882">
      <c r="F882" s="449"/>
    </row>
    <row r="883">
      <c r="F883" s="449"/>
    </row>
    <row r="884">
      <c r="F884" s="449"/>
    </row>
    <row r="885">
      <c r="F885" s="449"/>
    </row>
    <row r="886">
      <c r="F886" s="449"/>
    </row>
    <row r="887">
      <c r="F887" s="449"/>
    </row>
    <row r="888">
      <c r="F888" s="449"/>
    </row>
    <row r="889">
      <c r="F889" s="449"/>
    </row>
    <row r="890">
      <c r="F890" s="449"/>
    </row>
    <row r="891">
      <c r="F891" s="449"/>
    </row>
    <row r="892">
      <c r="F892" s="449"/>
    </row>
    <row r="893">
      <c r="F893" s="449"/>
    </row>
    <row r="894">
      <c r="F894" s="449"/>
    </row>
    <row r="895">
      <c r="F895" s="449"/>
    </row>
    <row r="896">
      <c r="F896" s="449"/>
    </row>
    <row r="897">
      <c r="F897" s="449"/>
    </row>
    <row r="898">
      <c r="F898" s="449"/>
    </row>
    <row r="899">
      <c r="F899" s="449"/>
    </row>
    <row r="900">
      <c r="F900" s="449"/>
    </row>
    <row r="901">
      <c r="F901" s="449"/>
    </row>
    <row r="902">
      <c r="F902" s="449"/>
    </row>
    <row r="903">
      <c r="F903" s="449"/>
    </row>
    <row r="904">
      <c r="F904" s="449"/>
    </row>
    <row r="905">
      <c r="F905" s="449"/>
    </row>
    <row r="906">
      <c r="F906" s="449"/>
    </row>
    <row r="907">
      <c r="F907" s="449"/>
    </row>
    <row r="908">
      <c r="F908" s="449"/>
    </row>
    <row r="909">
      <c r="F909" s="449"/>
    </row>
    <row r="910">
      <c r="F910" s="449"/>
    </row>
    <row r="911">
      <c r="F911" s="449"/>
    </row>
    <row r="912">
      <c r="F912" s="449"/>
    </row>
    <row r="913">
      <c r="F913" s="449"/>
    </row>
    <row r="914">
      <c r="F914" s="449"/>
    </row>
    <row r="915">
      <c r="F915" s="449"/>
    </row>
    <row r="916">
      <c r="F916" s="449"/>
    </row>
    <row r="917">
      <c r="F917" s="449"/>
    </row>
    <row r="918">
      <c r="F918" s="449"/>
    </row>
    <row r="919">
      <c r="F919" s="449"/>
    </row>
    <row r="920">
      <c r="F920" s="449"/>
    </row>
    <row r="921">
      <c r="F921" s="449"/>
    </row>
    <row r="922">
      <c r="F922" s="449"/>
    </row>
    <row r="923">
      <c r="F923" s="449"/>
    </row>
    <row r="924">
      <c r="F924" s="449"/>
    </row>
    <row r="925">
      <c r="F925" s="449"/>
    </row>
    <row r="926">
      <c r="F926" s="449"/>
    </row>
    <row r="927">
      <c r="F927" s="449"/>
    </row>
    <row r="928">
      <c r="F928" s="449"/>
    </row>
    <row r="929">
      <c r="F929" s="449"/>
    </row>
    <row r="930">
      <c r="F930" s="449"/>
    </row>
    <row r="931">
      <c r="F931" s="449"/>
    </row>
    <row r="932">
      <c r="F932" s="449"/>
    </row>
    <row r="933">
      <c r="F933" s="449"/>
    </row>
    <row r="934">
      <c r="F934" s="449"/>
    </row>
    <row r="935">
      <c r="F935" s="449"/>
    </row>
    <row r="936">
      <c r="F936" s="449"/>
    </row>
    <row r="937">
      <c r="F937" s="449"/>
    </row>
    <row r="938">
      <c r="F938" s="449"/>
    </row>
    <row r="939">
      <c r="F939" s="449"/>
    </row>
    <row r="940">
      <c r="F940" s="449"/>
    </row>
    <row r="941">
      <c r="F941" s="449"/>
    </row>
    <row r="942">
      <c r="F942" s="449"/>
    </row>
    <row r="943">
      <c r="F943" s="449"/>
    </row>
    <row r="944">
      <c r="F944" s="449"/>
    </row>
    <row r="945">
      <c r="F945" s="449"/>
    </row>
    <row r="946">
      <c r="F946" s="449"/>
    </row>
    <row r="947">
      <c r="F947" s="449"/>
    </row>
    <row r="948">
      <c r="F948" s="449"/>
    </row>
    <row r="949">
      <c r="F949" s="449"/>
    </row>
    <row r="950">
      <c r="F950" s="449"/>
    </row>
    <row r="951">
      <c r="F951" s="449"/>
    </row>
    <row r="952">
      <c r="F952" s="449"/>
    </row>
    <row r="953">
      <c r="F953" s="449"/>
    </row>
    <row r="954">
      <c r="F954" s="449"/>
    </row>
    <row r="955">
      <c r="F955" s="449"/>
    </row>
    <row r="956">
      <c r="F956" s="449"/>
    </row>
    <row r="957">
      <c r="F957" s="449"/>
    </row>
    <row r="958">
      <c r="F958" s="449"/>
    </row>
    <row r="959">
      <c r="F959" s="449"/>
    </row>
    <row r="960">
      <c r="F960" s="449"/>
    </row>
    <row r="961">
      <c r="F961" s="449"/>
    </row>
  </sheetData>
  <mergeCells count="2">
    <mergeCell ref="F192:G197"/>
    <mergeCell ref="F199:G204"/>
  </mergeCell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s>
  <drawing r:id="rId2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56"/>
    <col customWidth="1" min="2" max="2" width="91.0"/>
  </cols>
  <sheetData>
    <row r="2" ht="22.5" customHeight="1">
      <c r="A2" s="5" t="s">
        <v>33</v>
      </c>
      <c r="B2" s="5" t="s">
        <v>507</v>
      </c>
    </row>
    <row r="3" ht="22.5" customHeight="1">
      <c r="A3" s="516" t="s">
        <v>508</v>
      </c>
      <c r="B3" s="517" t="s">
        <v>509</v>
      </c>
      <c r="C3" s="207"/>
      <c r="D3" s="207"/>
      <c r="E3" s="207"/>
      <c r="F3" s="207"/>
      <c r="G3" s="207"/>
    </row>
    <row r="4" ht="22.5" customHeight="1">
      <c r="A4" s="516" t="s">
        <v>6</v>
      </c>
      <c r="B4" s="516" t="s">
        <v>509</v>
      </c>
      <c r="C4" s="207"/>
      <c r="D4" s="207"/>
      <c r="E4" s="207"/>
      <c r="F4" s="207"/>
      <c r="G4" s="207"/>
    </row>
    <row r="5" ht="22.5" customHeight="1">
      <c r="A5" s="516" t="s">
        <v>510</v>
      </c>
      <c r="B5" s="516" t="s">
        <v>509</v>
      </c>
      <c r="C5" s="207"/>
      <c r="D5" s="207"/>
      <c r="E5" s="207"/>
      <c r="F5" s="207"/>
      <c r="G5" s="207"/>
    </row>
    <row r="6" ht="22.5" customHeight="1">
      <c r="A6" s="516" t="s">
        <v>511</v>
      </c>
      <c r="B6" s="516" t="s">
        <v>509</v>
      </c>
      <c r="C6" s="207"/>
      <c r="D6" s="207"/>
      <c r="E6" s="207"/>
      <c r="F6" s="207"/>
      <c r="G6" s="207"/>
    </row>
    <row r="7" ht="22.5" customHeight="1">
      <c r="A7" s="516" t="s">
        <v>512</v>
      </c>
      <c r="B7" s="516" t="s">
        <v>513</v>
      </c>
      <c r="C7" s="207"/>
      <c r="D7" s="207"/>
      <c r="E7" s="207"/>
      <c r="F7" s="207"/>
      <c r="G7" s="207"/>
    </row>
    <row r="8" ht="22.5" customHeight="1">
      <c r="A8" s="516" t="s">
        <v>18</v>
      </c>
      <c r="B8" s="516" t="s">
        <v>514</v>
      </c>
      <c r="C8" s="207"/>
      <c r="D8" s="207"/>
      <c r="E8" s="207"/>
      <c r="F8" s="207"/>
      <c r="G8" s="207"/>
    </row>
    <row r="9" ht="22.5" customHeight="1">
      <c r="A9" s="516" t="s">
        <v>336</v>
      </c>
      <c r="B9" s="516" t="s">
        <v>515</v>
      </c>
      <c r="C9" s="207"/>
      <c r="D9" s="207"/>
      <c r="E9" s="207"/>
      <c r="F9" s="207"/>
      <c r="G9" s="207"/>
    </row>
    <row r="10" ht="22.5" customHeight="1">
      <c r="A10" s="516" t="s">
        <v>516</v>
      </c>
      <c r="B10" s="516" t="s">
        <v>517</v>
      </c>
      <c r="C10" s="207"/>
      <c r="D10" s="207"/>
      <c r="E10" s="207"/>
      <c r="F10" s="207"/>
      <c r="G10" s="207"/>
    </row>
    <row r="11" ht="22.5" customHeight="1">
      <c r="A11" s="516" t="s">
        <v>518</v>
      </c>
      <c r="B11" s="518" t="s">
        <v>519</v>
      </c>
      <c r="C11" s="207"/>
      <c r="D11" s="207"/>
      <c r="E11" s="207"/>
      <c r="F11" s="207"/>
      <c r="G11" s="207"/>
    </row>
    <row r="12" ht="22.5" customHeight="1">
      <c r="A12" s="516" t="s">
        <v>520</v>
      </c>
      <c r="B12" s="516" t="s">
        <v>521</v>
      </c>
      <c r="C12" s="207"/>
      <c r="D12" s="207"/>
      <c r="E12" s="207"/>
      <c r="F12" s="207"/>
      <c r="G12" s="207"/>
    </row>
  </sheetData>
  <hyperlinks>
    <hyperlink r:id="rId1" ref="B3"/>
    <hyperlink r:id="rId2" ref="B11"/>
  </hyperlinks>
  <drawing r:id="rId3"/>
  <tableParts count="1">
    <tablePart r:id="rId5"/>
  </tableParts>
</worksheet>
</file>